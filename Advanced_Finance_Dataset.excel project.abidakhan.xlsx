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91966\OneDrive\Desktop\"/>
    </mc:Choice>
  </mc:AlternateContent>
  <xr:revisionPtr revIDLastSave="0" documentId="8_{98E8F03C-57AA-47FD-A1F9-39B6E1E68B26}" xr6:coauthVersionLast="47" xr6:coauthVersionMax="47" xr10:uidLastSave="{00000000-0000-0000-0000-000000000000}"/>
  <bookViews>
    <workbookView xWindow="-108" yWindow="-108" windowWidth="23256" windowHeight="12456" activeTab="2" xr2:uid="{00000000-000D-0000-FFFF-FFFF00000000}"/>
  </bookViews>
  <sheets>
    <sheet name="Detail1" sheetId="3" r:id="rId1"/>
    <sheet name="Sheet2" sheetId="2" r:id="rId2"/>
    <sheet name="dashboard" sheetId="5" r:id="rId3"/>
    <sheet name="Sheet4" sheetId="6" r:id="rId4"/>
    <sheet name="Sheet5" sheetId="7" r:id="rId5"/>
    <sheet name="Sheet1" sheetId="1" r:id="rId6"/>
  </sheets>
  <definedNames>
    <definedName name="Slicer_Department">#N/A</definedName>
    <definedName name="Slicer_Region">#N/A</definedName>
    <definedName name="Slicer_year">#N/A</definedName>
  </definedNames>
  <calcPr calcId="191029"/>
  <pivotCaches>
    <pivotCache cacheId="2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C3" i="5"/>
  <c r="B3" i="5"/>
  <c r="D3" i="5" s="1"/>
  <c r="E3" i="5" s="1"/>
  <c r="N2" i="1"/>
  <c r="M2" i="1"/>
  <c r="L2" i="1"/>
</calcChain>
</file>

<file path=xl/sharedStrings.xml><?xml version="1.0" encoding="utf-8"?>
<sst xmlns="http://schemas.openxmlformats.org/spreadsheetml/2006/main" count="3365" uniqueCount="54">
  <si>
    <t>Date</t>
  </si>
  <si>
    <t>Department</t>
  </si>
  <si>
    <t>Category</t>
  </si>
  <si>
    <t>Product/Service</t>
  </si>
  <si>
    <t>Revenue</t>
  </si>
  <si>
    <t>Expense</t>
  </si>
  <si>
    <t>Budget</t>
  </si>
  <si>
    <t>Region</t>
  </si>
  <si>
    <t>Channel</t>
  </si>
  <si>
    <t>Customer Type</t>
  </si>
  <si>
    <t>HR</t>
  </si>
  <si>
    <t>Finance</t>
  </si>
  <si>
    <t>Operations</t>
  </si>
  <si>
    <t>Marketing</t>
  </si>
  <si>
    <t>Sales</t>
  </si>
  <si>
    <t>Software</t>
  </si>
  <si>
    <t>Salary</t>
  </si>
  <si>
    <t>Training</t>
  </si>
  <si>
    <t>Inventory</t>
  </si>
  <si>
    <t>Travel</t>
  </si>
  <si>
    <t>Utilities</t>
  </si>
  <si>
    <t>Maintenance</t>
  </si>
  <si>
    <t>Product B</t>
  </si>
  <si>
    <t>Service Y</t>
  </si>
  <si>
    <t>Service X</t>
  </si>
  <si>
    <t>Product C</t>
  </si>
  <si>
    <t>Product D</t>
  </si>
  <si>
    <t>Product A</t>
  </si>
  <si>
    <t>South</t>
  </si>
  <si>
    <t>North</t>
  </si>
  <si>
    <t>West</t>
  </si>
  <si>
    <t>East</t>
  </si>
  <si>
    <t>Retail</t>
  </si>
  <si>
    <t>Wholesale</t>
  </si>
  <si>
    <t>Online</t>
  </si>
  <si>
    <t>New</t>
  </si>
  <si>
    <t>Returning</t>
  </si>
  <si>
    <t>year</t>
  </si>
  <si>
    <t>month</t>
  </si>
  <si>
    <t>monthnum</t>
  </si>
  <si>
    <t>quarter</t>
  </si>
  <si>
    <t>Row Labels</t>
  </si>
  <si>
    <t>(blank)</t>
  </si>
  <si>
    <t>Grand Total</t>
  </si>
  <si>
    <t>January</t>
  </si>
  <si>
    <t>Sum of Revenue</t>
  </si>
  <si>
    <t>Sum of Expense</t>
  </si>
  <si>
    <t>Sum of profit</t>
  </si>
  <si>
    <t>Q1</t>
  </si>
  <si>
    <t>Details for Sum of Expense - month: January, monthnum: 1</t>
  </si>
  <si>
    <t>total revenue</t>
  </si>
  <si>
    <t>Total Expense</t>
  </si>
  <si>
    <t>Net Profit</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</si>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</sst>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color theme="1"/>
      <name val="Calibri"/>
      <family val="2"/>
      <scheme val="minor"/>
    </font>
    <font>
      <b/>
      <sz val="14"/>
      <color theme="1"/>
      <name val="Calibri"/>
      <family val="2"/>
      <scheme val="minor"/>
    </font>
    <font>
      <b/>
      <sz val="14"/>
      <color theme="4"/>
      <name val="Calibri"/>
      <family val="2"/>
      <scheme val="minor"/>
    </font>
    <font>
      <b/>
      <sz val="11"/>
      <color theme="4"/>
      <name val="Calibri"/>
      <family val="2"/>
      <scheme val="minor"/>
    </font>
    <font>
      <sz val="11"/>
      <color theme="4"/>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4" fontId="0" fillId="0" borderId="0" xfId="0" applyNumberFormat="1"/>
    <xf numFmtId="0" fontId="2" fillId="0" borderId="0" xfId="0" applyFont="1"/>
    <xf numFmtId="0" fontId="3" fillId="0" borderId="1" xfId="0" applyFont="1" applyBorder="1"/>
    <xf numFmtId="0" fontId="0" fillId="0" borderId="1" xfId="0" applyBorder="1"/>
    <xf numFmtId="0" fontId="5" fillId="0" borderId="1" xfId="0" applyFont="1" applyBorder="1"/>
    <xf numFmtId="0" fontId="4" fillId="0" borderId="1" xfId="0" applyFont="1" applyBorder="1"/>
  </cellXfs>
  <cellStyles count="1">
    <cellStyle name="Normal" xfId="0" builtinId="0"/>
  </cellStyles>
  <dxfs count="4">
    <dxf>
      <numFmt numFmtId="0" formatCode="General"/>
    </dxf>
    <dxf>
      <numFmt numFmtId="19" formatCode="dd/mm/yyyy"/>
    </dxf>
    <dxf>
      <font>
        <b/>
        <i val="0"/>
        <strike val="0"/>
        <condense val="0"/>
        <extend val="0"/>
        <outline val="0"/>
        <shadow val="0"/>
        <u val="none"/>
        <vertAlign val="baseline"/>
        <sz val="11"/>
        <color theme="1"/>
        <name val="Calibri"/>
        <family val="2"/>
        <scheme val="minor"/>
      </font>
    </dxf>
    <dxf>
      <numFmt numFmtId="164"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[Advanced_Finance_Dataset.excel project.abidakhan.xlsx]Sheet2!PivotTable1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profit trend 2022-2024</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Sheet2!$A$4:$A$8</c:f>
              <c:multiLvlStrCache>
                <c:ptCount val="2"/>
                <c:lvl>
                  <c:pt idx="0">
                    <c:v>(blank)</c:v>
                  </c:pt>
                  <c:pt idx="1">
                    <c:v>1</c:v>
                  </c:pt>
                </c:lvl>
                <c:lvl>
                  <c:pt idx="0">
                    <c:v>(blank)</c:v>
                  </c:pt>
                  <c:pt idx="1">
                    <c:v>January</c:v>
                  </c:pt>
                </c:lvl>
              </c:multiLvlStrCache>
            </c:multiLvlStrRef>
          </c:cat>
          <c:val>
            <c:numRef>
              <c:f>Sheet2!$B$4:$B$8</c:f>
              <c:numCache>
                <c:formatCode>General</c:formatCode>
                <c:ptCount val="2"/>
                <c:pt idx="0">
                  <c:v>15065880</c:v>
                </c:pt>
                <c:pt idx="1">
                  <c:v>105329</c:v>
                </c:pt>
              </c:numCache>
            </c:numRef>
          </c:val>
          <c:smooth val="0"/>
          <c:extLst>
            <c:ext xmlns:c16="http://schemas.microsoft.com/office/drawing/2014/chart" uri="{C3380CC4-5D6E-409C-BE32-E72D297353CC}">
              <c16:uniqueId val="{00000000-8666-4421-8D07-8FA883C3AAA4}"/>
            </c:ext>
          </c:extLst>
        </c:ser>
        <c:dLbls>
          <c:showLegendKey val="0"/>
          <c:showVal val="0"/>
          <c:showCatName val="0"/>
          <c:showSerName val="0"/>
          <c:showPercent val="0"/>
          <c:showBubbleSize val="0"/>
        </c:dLbls>
        <c:smooth val="0"/>
        <c:axId val="253458224"/>
        <c:axId val="253449104"/>
      </c:lineChart>
      <c:catAx>
        <c:axId val="25345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49104"/>
        <c:crosses val="autoZero"/>
        <c:auto val="1"/>
        <c:lblAlgn val="ctr"/>
        <c:lblOffset val="100"/>
        <c:noMultiLvlLbl val="0"/>
      </c:catAx>
      <c:valAx>
        <c:axId val="253449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5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[Advanced_Finance_Dataset.excel project.abidakhan.xlsx]Sheet4!PivotTable2</c:name>
    <c:fmtId val="3"/>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category-wise expenses</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F9-4A0A-A94C-20B474303B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F9-4A0A-A94C-20B474303B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F9-4A0A-A94C-20B474303B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F9-4A0A-A94C-20B474303B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F9-4A0A-A94C-20B474303B4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EF9-4A0A-A94C-20B474303B4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EF9-4A0A-A94C-20B474303B41}"/>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Sheet4!$A$4:$A$11</c:f>
              <c:strCache>
                <c:ptCount val="7"/>
                <c:pt idx="0">
                  <c:v>Inventory</c:v>
                </c:pt>
                <c:pt idx="1">
                  <c:v>Maintenance</c:v>
                </c:pt>
                <c:pt idx="2">
                  <c:v>Salary</c:v>
                </c:pt>
                <c:pt idx="3">
                  <c:v>Software</c:v>
                </c:pt>
                <c:pt idx="4">
                  <c:v>Training</c:v>
                </c:pt>
                <c:pt idx="5">
                  <c:v>Travel</c:v>
                </c:pt>
                <c:pt idx="6">
                  <c:v>Utilities</c:v>
                </c:pt>
              </c:strCache>
            </c:strRef>
          </c:cat>
          <c:val>
            <c:numRef>
              <c:f>Sheet4!$B$4:$B$11</c:f>
              <c:numCache>
                <c:formatCode>General</c:formatCode>
                <c:ptCount val="7"/>
                <c:pt idx="0">
                  <c:v>4046085</c:v>
                </c:pt>
                <c:pt idx="1">
                  <c:v>3771070</c:v>
                </c:pt>
                <c:pt idx="2">
                  <c:v>4041901</c:v>
                </c:pt>
                <c:pt idx="3">
                  <c:v>4084869</c:v>
                </c:pt>
                <c:pt idx="4">
                  <c:v>4462434</c:v>
                </c:pt>
                <c:pt idx="5">
                  <c:v>4083281</c:v>
                </c:pt>
                <c:pt idx="6">
                  <c:v>3827899</c:v>
                </c:pt>
              </c:numCache>
            </c:numRef>
          </c:val>
          <c:extLst>
            <c:ext xmlns:c16="http://schemas.microsoft.com/office/drawing/2014/chart" uri="{C3380CC4-5D6E-409C-BE32-E72D297353CC}">
              <c16:uniqueId val="{0000000E-2EF9-4A0A-A94C-20B474303B41}"/>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[Advanced_Finance_Dataset.excel project.abidakhan.xlsx]Sheet5!PivotTable3</c:name>
    <c:fmtId val="8"/>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department-wise revenue</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Finance</c:v>
                </c:pt>
                <c:pt idx="1">
                  <c:v>HR</c:v>
                </c:pt>
                <c:pt idx="2">
                  <c:v>Marketing</c:v>
                </c:pt>
                <c:pt idx="3">
                  <c:v>Operations</c:v>
                </c:pt>
                <c:pt idx="4">
                  <c:v>Sales</c:v>
                </c:pt>
              </c:strCache>
            </c:strRef>
          </c:cat>
          <c:val>
            <c:numRef>
              <c:f>Sheet5!$B$4:$B$9</c:f>
              <c:numCache>
                <c:formatCode>General</c:formatCode>
                <c:ptCount val="5"/>
                <c:pt idx="0">
                  <c:v>8242169</c:v>
                </c:pt>
                <c:pt idx="1">
                  <c:v>9923050</c:v>
                </c:pt>
                <c:pt idx="2">
                  <c:v>8965404</c:v>
                </c:pt>
                <c:pt idx="3">
                  <c:v>7576890</c:v>
                </c:pt>
                <c:pt idx="4">
                  <c:v>8781235</c:v>
                </c:pt>
              </c:numCache>
            </c:numRef>
          </c:val>
          <c:extLst>
            <c:ext xmlns:c16="http://schemas.microsoft.com/office/drawing/2014/chart" uri="{C3380CC4-5D6E-409C-BE32-E72D297353CC}">
              <c16:uniqueId val="{00000000-AA21-483C-94BC-475A5E692055}"/>
            </c:ext>
          </c:extLst>
        </c:ser>
        <c:dLbls>
          <c:dLblPos val="outEnd"/>
          <c:showLegendKey val="0"/>
          <c:showVal val="1"/>
          <c:showCatName val="0"/>
          <c:showSerName val="0"/>
          <c:showPercent val="0"/>
          <c:showBubbleSize val="0"/>
        </c:dLbls>
        <c:gapWidth val="219"/>
        <c:overlap val="-27"/>
        <c:axId val="738275184"/>
        <c:axId val="738258864"/>
      </c:barChart>
      <c:catAx>
        <c:axId val="73827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38258864"/>
        <c:crosses val="autoZero"/>
        <c:auto val="1"/>
        <c:lblAlgn val="ctr"/>
        <c:lblOffset val="100"/>
        <c:noMultiLvlLbl val="0"/>
      </c:catAx>
      <c:valAx>
        <c:axId val="738258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3827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121920</xdr:colOff>
      <xdr:row>8</xdr:row>
      <xdr:rowOff>64770</xdr:rowOff>
    </xdr:from>
    <xdr:to>
      <xdr:col>5</xdr:col>
      <xdr:colOff>60960</xdr:colOff>
      <xdr:row>23</xdr:row>
      <xdr:rowOff>64770</xdr:rowOff>
    </xdr:to>
    <xdr:graphicFrame macro="">
      <xdr:nvGraphicFramePr>
        <xdr:cNvPr id="2" name="Chart 1">
          <a:extLst>
            <a:ext uri="{FF2B5EF4-FFF2-40B4-BE49-F238E27FC236}">
              <a16:creationId xmlns:a16="http://schemas.microsoft.com/office/drawing/2014/main" id="{0AA19345-8D28-836F-AECF-1711D13338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95250</xdr:rowOff>
    </xdr:from>
    <xdr:to>
      <xdr:col>3</xdr:col>
      <xdr:colOff>883920</xdr:colOff>
      <xdr:row>29</xdr:row>
      <xdr:rowOff>7620</xdr:rowOff>
    </xdr:to>
    <xdr:graphicFrame macro="">
      <xdr:nvGraphicFramePr>
        <xdr:cNvPr id="2" name="Chart 1">
          <a:extLst>
            <a:ext uri="{FF2B5EF4-FFF2-40B4-BE49-F238E27FC236}">
              <a16:creationId xmlns:a16="http://schemas.microsoft.com/office/drawing/2014/main" id="{3F9D10CC-7ADE-B1FF-5EE4-4394B008D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944880</xdr:colOff>
      <xdr:row>17</xdr:row>
      <xdr:rowOff>102870</xdr:rowOff>
    </xdr:from>
    <xdr:to>
      <xdr:col>7</xdr:col>
      <xdr:colOff>815340</xdr:colOff>
      <xdr:row>28</xdr:row>
      <xdr:rowOff>114300</xdr:rowOff>
    </xdr:to>
    <xdr:graphicFrame macro="">
      <xdr:nvGraphicFramePr>
        <xdr:cNvPr id="3" name="Chart 1">
          <a:extLst>
            <a:ext uri="{FF2B5EF4-FFF2-40B4-BE49-F238E27FC236}">
              <a16:creationId xmlns:a16="http://schemas.microsoft.com/office/drawing/2014/main" id="{08E4EF82-47F5-9EEF-84F0-01EAAE36D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1493520</xdr:colOff>
      <xdr:row>3</xdr:row>
      <xdr:rowOff>175260</xdr:rowOff>
    </xdr:from>
    <xdr:to>
      <xdr:col>3</xdr:col>
      <xdr:colOff>777240</xdr:colOff>
      <xdr:row>17</xdr:row>
      <xdr:rowOff>36195</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4FC1403E-065B-106F-5205-793EEDA0671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805940" y="815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784860</xdr:colOff>
      <xdr:row>4</xdr:row>
      <xdr:rowOff>7620</xdr:rowOff>
    </xdr:from>
    <xdr:to>
      <xdr:col>5</xdr:col>
      <xdr:colOff>320040</xdr:colOff>
      <xdr:row>17</xdr:row>
      <xdr:rowOff>51435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56F6A696-28E1-7BCC-6A1C-69DFC02DF7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42360" y="830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3</xdr:row>
      <xdr:rowOff>175260</xdr:rowOff>
    </xdr:from>
    <xdr:to>
      <xdr:col>2</xdr:col>
      <xdr:colOff>53340</xdr:colOff>
      <xdr:row>17</xdr:row>
      <xdr:rowOff>36195</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F03E8CB2-1A48-EC43-04F5-D1C0ED11785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0480" y="815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66" refreshedDate="45990.822396990741" createdVersion="8" refreshedVersion="8" minRefreshableVersion="3" recordCount="550" xr:uid="{633C58F7-8C62-49E3-AF4C-FD6D58D76FC1}">
  <cacheSource type="worksheet">
    <worksheetSource name="financeData"/>
  </cacheSource>
  <cacheFields count="15">
    <cacheField name="Date" numFmtId="164">
      <sharedItems containsSemiMixedTypes="0" containsNonDate="0" containsDate="1" containsString="0" minDate="2022-01-01T00:00:00" maxDate="2025-01-01T00:00:00"/>
    </cacheField>
    <cacheField name="Department" numFmtId="0">
      <sharedItems count="5">
        <s v="HR"/>
        <s v="Finance"/>
        <s v="Operations"/>
        <s v="Marketing"/>
        <s v="Sales"/>
      </sharedItems>
    </cacheField>
    <cacheField name="Category" numFmtId="0">
      <sharedItems count="7">
        <s v="Software"/>
        <s v="Salary"/>
        <s v="Training"/>
        <s v="Inventory"/>
        <s v="Travel"/>
        <s v="Utilities"/>
        <s v="Maintenance"/>
      </sharedItems>
    </cacheField>
    <cacheField name="Product/Service" numFmtId="0">
      <sharedItems/>
    </cacheField>
    <cacheField name="Revenue" numFmtId="0">
      <sharedItems containsSemiMixedTypes="0" containsString="0" containsNumber="1" containsInteger="1" minValue="5281" maxValue="149832"/>
    </cacheField>
    <cacheField name="Expense" numFmtId="0">
      <sharedItems containsSemiMixedTypes="0" containsString="0" containsNumber="1" containsInteger="1" minValue="2163" maxValue="99912"/>
    </cacheField>
    <cacheField name="Budget" numFmtId="0">
      <sharedItems containsSemiMixedTypes="0" containsString="0" containsNumber="1" containsInteger="1" minValue="5155" maxValue="119604"/>
    </cacheField>
    <cacheField name="Region" numFmtId="0">
      <sharedItems count="4">
        <s v="South"/>
        <s v="North"/>
        <s v="West"/>
        <s v="East"/>
      </sharedItems>
    </cacheField>
    <cacheField name="Channel" numFmtId="0">
      <sharedItems/>
    </cacheField>
    <cacheField name="Customer Type" numFmtId="0">
      <sharedItems/>
    </cacheField>
    <cacheField name="year" numFmtId="0">
      <sharedItems containsSemiMixedTypes="0" containsString="0" containsNumber="1" containsInteger="1" minValue="2022" maxValue="2024" count="3">
        <n v="2022"/>
        <n v="2023"/>
        <n v="2024"/>
      </sharedItems>
    </cacheField>
    <cacheField name="month" numFmtId="0">
      <sharedItems containsBlank="1" count="2">
        <s v="January"/>
        <m/>
      </sharedItems>
    </cacheField>
    <cacheField name="monthnum" numFmtId="0">
      <sharedItems containsString="0" containsBlank="1" containsNumber="1" containsInteger="1" minValue="1" maxValue="1" count="2">
        <n v="1"/>
        <m/>
      </sharedItems>
    </cacheField>
    <cacheField name="quarter" numFmtId="0">
      <sharedItems containsBlank="1"/>
    </cacheField>
    <cacheField name="profit" numFmtId="0" formula="Revenue -Expense" databaseField="0"/>
  </cacheFields>
  <extLst>
    <ext xmlns:x14="http://schemas.microsoft.com/office/spreadsheetml/2009/9/main" uri="{725AE2AE-9491-48be-B2B4-4EB974FC3084}">
      <x14:pivotCacheDefinition pivotCacheId="159615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d v="2022-01-01T00:00:00"/>
    <x v="0"/>
    <x v="0"/>
    <s v="Product B"/>
    <n v="117855"/>
    <n v="12526"/>
    <n v="73920"/>
    <x v="0"/>
    <s v="Retail"/>
    <s v="New"/>
    <x v="0"/>
    <x v="0"/>
    <x v="0"/>
    <s v="Q1"/>
  </r>
  <r>
    <d v="2022-01-02T23:52:08"/>
    <x v="1"/>
    <x v="1"/>
    <s v="Service Y"/>
    <n v="12906"/>
    <n v="70910"/>
    <n v="48619"/>
    <x v="1"/>
    <s v="Wholesale"/>
    <s v="Returning"/>
    <x v="0"/>
    <x v="1"/>
    <x v="1"/>
    <m/>
  </r>
  <r>
    <d v="2022-01-04T23:44:16"/>
    <x v="2"/>
    <x v="1"/>
    <s v="Service X"/>
    <n v="66413"/>
    <n v="27592"/>
    <n v="47821"/>
    <x v="0"/>
    <s v="Wholesale"/>
    <s v="Returning"/>
    <x v="0"/>
    <x v="1"/>
    <x v="1"/>
    <m/>
  </r>
  <r>
    <d v="2022-01-06T23:36:24"/>
    <x v="1"/>
    <x v="2"/>
    <s v="Product C"/>
    <n v="59028"/>
    <n v="30982"/>
    <n v="18493"/>
    <x v="2"/>
    <s v="Retail"/>
    <s v="Returning"/>
    <x v="0"/>
    <x v="1"/>
    <x v="1"/>
    <m/>
  </r>
  <r>
    <d v="2022-01-08T23:28:31"/>
    <x v="1"/>
    <x v="2"/>
    <s v="Product C"/>
    <n v="12287"/>
    <n v="2207"/>
    <n v="22069"/>
    <x v="3"/>
    <s v="Online"/>
    <s v="New"/>
    <x v="0"/>
    <x v="1"/>
    <x v="1"/>
    <m/>
  </r>
  <r>
    <d v="2022-01-10T23:20:39"/>
    <x v="3"/>
    <x v="2"/>
    <s v="Service Y"/>
    <n v="38660"/>
    <n v="90733"/>
    <n v="117443"/>
    <x v="2"/>
    <s v="Wholesale"/>
    <s v="New"/>
    <x v="0"/>
    <x v="1"/>
    <x v="1"/>
    <m/>
  </r>
  <r>
    <d v="2022-01-12T23:12:47"/>
    <x v="2"/>
    <x v="3"/>
    <s v="Service Y"/>
    <n v="65504"/>
    <n v="70619"/>
    <n v="12531"/>
    <x v="2"/>
    <s v="Online"/>
    <s v="Returning"/>
    <x v="0"/>
    <x v="1"/>
    <x v="1"/>
    <m/>
  </r>
  <r>
    <d v="2022-01-14T23:04:55"/>
    <x v="2"/>
    <x v="0"/>
    <s v="Product C"/>
    <n v="107979"/>
    <n v="31328"/>
    <n v="42051"/>
    <x v="1"/>
    <s v="Wholesale"/>
    <s v="Returning"/>
    <x v="0"/>
    <x v="1"/>
    <x v="1"/>
    <m/>
  </r>
  <r>
    <d v="2022-01-16T22:57:03"/>
    <x v="2"/>
    <x v="2"/>
    <s v="Product C"/>
    <n v="39701"/>
    <n v="48479"/>
    <n v="12736"/>
    <x v="0"/>
    <s v="Online"/>
    <s v="Returning"/>
    <x v="0"/>
    <x v="1"/>
    <x v="1"/>
    <m/>
  </r>
  <r>
    <d v="2022-01-18T22:49:11"/>
    <x v="1"/>
    <x v="4"/>
    <s v="Product B"/>
    <n v="88300"/>
    <n v="22103"/>
    <n v="12710"/>
    <x v="3"/>
    <s v="Online"/>
    <s v="New"/>
    <x v="0"/>
    <x v="1"/>
    <x v="1"/>
    <m/>
  </r>
  <r>
    <d v="2022-01-20T22:41:19"/>
    <x v="0"/>
    <x v="3"/>
    <s v="Product D"/>
    <n v="88560"/>
    <n v="41891"/>
    <n v="72155"/>
    <x v="1"/>
    <s v="Online"/>
    <s v="New"/>
    <x v="0"/>
    <x v="1"/>
    <x v="1"/>
    <m/>
  </r>
  <r>
    <d v="2022-01-22T22:33:27"/>
    <x v="2"/>
    <x v="5"/>
    <s v="Service X"/>
    <n v="48642"/>
    <n v="12754"/>
    <n v="18975"/>
    <x v="1"/>
    <s v="Retail"/>
    <s v="New"/>
    <x v="0"/>
    <x v="1"/>
    <x v="1"/>
    <m/>
  </r>
  <r>
    <d v="2022-01-24T22:25:34"/>
    <x v="1"/>
    <x v="4"/>
    <s v="Product A"/>
    <n v="70160"/>
    <n v="83437"/>
    <n v="67424"/>
    <x v="1"/>
    <s v="Online"/>
    <s v="New"/>
    <x v="0"/>
    <x v="1"/>
    <x v="1"/>
    <m/>
  </r>
  <r>
    <d v="2022-01-26T22:17:42"/>
    <x v="3"/>
    <x v="6"/>
    <s v="Product D"/>
    <n v="22602"/>
    <n v="74982"/>
    <n v="50603"/>
    <x v="2"/>
    <s v="Online"/>
    <s v="New"/>
    <x v="0"/>
    <x v="1"/>
    <x v="1"/>
    <m/>
  </r>
  <r>
    <d v="2022-01-28T22:09:50"/>
    <x v="0"/>
    <x v="6"/>
    <s v="Service Y"/>
    <n v="108320"/>
    <n v="57922"/>
    <n v="28252"/>
    <x v="0"/>
    <s v="Online"/>
    <s v="Returning"/>
    <x v="0"/>
    <x v="1"/>
    <x v="1"/>
    <m/>
  </r>
  <r>
    <d v="2022-01-30T22:01:58"/>
    <x v="3"/>
    <x v="4"/>
    <s v="Product C"/>
    <n v="93801"/>
    <n v="50231"/>
    <n v="85797"/>
    <x v="0"/>
    <s v="Wholesale"/>
    <s v="New"/>
    <x v="0"/>
    <x v="1"/>
    <x v="1"/>
    <m/>
  </r>
  <r>
    <d v="2022-02-01T21:54:06"/>
    <x v="0"/>
    <x v="2"/>
    <s v="Product D"/>
    <n v="30931"/>
    <n v="31301"/>
    <n v="6431"/>
    <x v="3"/>
    <s v="Online"/>
    <s v="New"/>
    <x v="0"/>
    <x v="1"/>
    <x v="1"/>
    <m/>
  </r>
  <r>
    <d v="2022-02-03T21:46:14"/>
    <x v="1"/>
    <x v="5"/>
    <s v="Service X"/>
    <n v="99377"/>
    <n v="93652"/>
    <n v="79603"/>
    <x v="0"/>
    <s v="Wholesale"/>
    <s v="New"/>
    <x v="0"/>
    <x v="1"/>
    <x v="1"/>
    <m/>
  </r>
  <r>
    <d v="2022-02-05T21:38:22"/>
    <x v="4"/>
    <x v="5"/>
    <s v="Service Y"/>
    <n v="34192"/>
    <n v="64711"/>
    <n v="42481"/>
    <x v="0"/>
    <s v="Online"/>
    <s v="New"/>
    <x v="0"/>
    <x v="1"/>
    <x v="1"/>
    <m/>
  </r>
  <r>
    <d v="2022-02-07T21:30:30"/>
    <x v="0"/>
    <x v="3"/>
    <s v="Product A"/>
    <n v="51542"/>
    <n v="43323"/>
    <n v="97573"/>
    <x v="1"/>
    <s v="Online"/>
    <s v="New"/>
    <x v="0"/>
    <x v="1"/>
    <x v="1"/>
    <m/>
  </r>
  <r>
    <d v="2022-02-09T21:22:37"/>
    <x v="3"/>
    <x v="5"/>
    <s v="Product A"/>
    <n v="132015"/>
    <n v="20752"/>
    <n v="14557"/>
    <x v="1"/>
    <s v="Retail"/>
    <s v="Returning"/>
    <x v="0"/>
    <x v="1"/>
    <x v="1"/>
    <m/>
  </r>
  <r>
    <d v="2022-02-11T21:14:45"/>
    <x v="1"/>
    <x v="6"/>
    <s v="Service X"/>
    <n v="47520"/>
    <n v="99912"/>
    <n v="79971"/>
    <x v="2"/>
    <s v="Wholesale"/>
    <s v="New"/>
    <x v="0"/>
    <x v="1"/>
    <x v="1"/>
    <m/>
  </r>
  <r>
    <d v="2022-02-13T21:06:53"/>
    <x v="0"/>
    <x v="0"/>
    <s v="Service X"/>
    <n v="69772"/>
    <n v="84205"/>
    <n v="108302"/>
    <x v="1"/>
    <s v="Online"/>
    <s v="New"/>
    <x v="0"/>
    <x v="1"/>
    <x v="1"/>
    <m/>
  </r>
  <r>
    <d v="2022-02-15T20:59:01"/>
    <x v="4"/>
    <x v="2"/>
    <s v="Product C"/>
    <n v="55106"/>
    <n v="15395"/>
    <n v="5162"/>
    <x v="1"/>
    <s v="Wholesale"/>
    <s v="New"/>
    <x v="0"/>
    <x v="1"/>
    <x v="1"/>
    <m/>
  </r>
  <r>
    <d v="2022-02-17T20:51:09"/>
    <x v="4"/>
    <x v="5"/>
    <s v="Product A"/>
    <n v="86121"/>
    <n v="87957"/>
    <n v="39742"/>
    <x v="1"/>
    <s v="Wholesale"/>
    <s v="Returning"/>
    <x v="0"/>
    <x v="1"/>
    <x v="1"/>
    <m/>
  </r>
  <r>
    <d v="2022-02-19T20:43:17"/>
    <x v="2"/>
    <x v="3"/>
    <s v="Service Y"/>
    <n v="30559"/>
    <n v="58273"/>
    <n v="24675"/>
    <x v="1"/>
    <s v="Retail"/>
    <s v="Returning"/>
    <x v="0"/>
    <x v="1"/>
    <x v="1"/>
    <m/>
  </r>
  <r>
    <d v="2022-02-21T20:35:25"/>
    <x v="2"/>
    <x v="6"/>
    <s v="Product D"/>
    <n v="110595"/>
    <n v="93878"/>
    <n v="78997"/>
    <x v="2"/>
    <s v="Retail"/>
    <s v="Returning"/>
    <x v="0"/>
    <x v="1"/>
    <x v="1"/>
    <m/>
  </r>
  <r>
    <d v="2022-02-23T20:27:32"/>
    <x v="3"/>
    <x v="0"/>
    <s v="Service Y"/>
    <n v="38742"/>
    <n v="6895"/>
    <n v="22015"/>
    <x v="1"/>
    <s v="Retail"/>
    <s v="New"/>
    <x v="0"/>
    <x v="1"/>
    <x v="1"/>
    <m/>
  </r>
  <r>
    <d v="2022-02-25T20:19:40"/>
    <x v="0"/>
    <x v="1"/>
    <s v="Product B"/>
    <n v="74669"/>
    <n v="78559"/>
    <n v="55057"/>
    <x v="3"/>
    <s v="Retail"/>
    <s v="Returning"/>
    <x v="0"/>
    <x v="1"/>
    <x v="1"/>
    <m/>
  </r>
  <r>
    <d v="2022-02-27T20:11:48"/>
    <x v="0"/>
    <x v="1"/>
    <s v="Product B"/>
    <n v="140044"/>
    <n v="12699"/>
    <n v="37591"/>
    <x v="3"/>
    <s v="Retail"/>
    <s v="New"/>
    <x v="0"/>
    <x v="1"/>
    <x v="1"/>
    <m/>
  </r>
  <r>
    <d v="2022-03-01T20:03:56"/>
    <x v="2"/>
    <x v="0"/>
    <s v="Service X"/>
    <n v="75831"/>
    <n v="67061"/>
    <n v="98583"/>
    <x v="3"/>
    <s v="Retail"/>
    <s v="New"/>
    <x v="0"/>
    <x v="1"/>
    <x v="1"/>
    <m/>
  </r>
  <r>
    <d v="2022-03-03T19:56:04"/>
    <x v="0"/>
    <x v="6"/>
    <s v="Product C"/>
    <n v="117217"/>
    <n v="11715"/>
    <n v="105318"/>
    <x v="3"/>
    <s v="Retail"/>
    <s v="Returning"/>
    <x v="0"/>
    <x v="1"/>
    <x v="1"/>
    <m/>
  </r>
  <r>
    <d v="2022-03-05T19:48:12"/>
    <x v="0"/>
    <x v="3"/>
    <s v="Product B"/>
    <n v="46873"/>
    <n v="21169"/>
    <n v="14833"/>
    <x v="1"/>
    <s v="Retail"/>
    <s v="New"/>
    <x v="0"/>
    <x v="1"/>
    <x v="1"/>
    <m/>
  </r>
  <r>
    <d v="2022-03-07T19:40:20"/>
    <x v="4"/>
    <x v="0"/>
    <s v="Product A"/>
    <n v="111532"/>
    <n v="18163"/>
    <n v="12896"/>
    <x v="3"/>
    <s v="Online"/>
    <s v="New"/>
    <x v="0"/>
    <x v="1"/>
    <x v="1"/>
    <m/>
  </r>
  <r>
    <d v="2022-03-09T19:32:28"/>
    <x v="2"/>
    <x v="2"/>
    <s v="Service Y"/>
    <n v="131267"/>
    <n v="7782"/>
    <n v="37972"/>
    <x v="1"/>
    <s v="Wholesale"/>
    <s v="New"/>
    <x v="0"/>
    <x v="1"/>
    <x v="1"/>
    <m/>
  </r>
  <r>
    <d v="2022-03-11T19:24:35"/>
    <x v="1"/>
    <x v="2"/>
    <s v="Service Y"/>
    <n v="145975"/>
    <n v="90177"/>
    <n v="54733"/>
    <x v="2"/>
    <s v="Retail"/>
    <s v="Returning"/>
    <x v="0"/>
    <x v="1"/>
    <x v="1"/>
    <m/>
  </r>
  <r>
    <d v="2022-03-13T19:16:43"/>
    <x v="2"/>
    <x v="1"/>
    <s v="Service X"/>
    <n v="139092"/>
    <n v="86328"/>
    <n v="46800"/>
    <x v="3"/>
    <s v="Retail"/>
    <s v="New"/>
    <x v="0"/>
    <x v="1"/>
    <x v="1"/>
    <m/>
  </r>
  <r>
    <d v="2022-03-15T19:08:51"/>
    <x v="1"/>
    <x v="5"/>
    <s v="Product D"/>
    <n v="46755"/>
    <n v="37585"/>
    <n v="101044"/>
    <x v="0"/>
    <s v="Wholesale"/>
    <s v="New"/>
    <x v="0"/>
    <x v="1"/>
    <x v="1"/>
    <m/>
  </r>
  <r>
    <d v="2022-03-17T19:00:59"/>
    <x v="4"/>
    <x v="3"/>
    <s v="Service X"/>
    <n v="90956"/>
    <n v="32682"/>
    <n v="10347"/>
    <x v="3"/>
    <s v="Online"/>
    <s v="Returning"/>
    <x v="0"/>
    <x v="1"/>
    <x v="1"/>
    <m/>
  </r>
  <r>
    <d v="2022-03-19T18:53:07"/>
    <x v="3"/>
    <x v="1"/>
    <s v="Product D"/>
    <n v="91988"/>
    <n v="49864"/>
    <n v="64063"/>
    <x v="3"/>
    <s v="Wholesale"/>
    <s v="New"/>
    <x v="0"/>
    <x v="1"/>
    <x v="1"/>
    <m/>
  </r>
  <r>
    <d v="2022-03-21T18:45:15"/>
    <x v="0"/>
    <x v="5"/>
    <s v="Service X"/>
    <n v="50648"/>
    <n v="86416"/>
    <n v="100850"/>
    <x v="1"/>
    <s v="Wholesale"/>
    <s v="New"/>
    <x v="0"/>
    <x v="1"/>
    <x v="1"/>
    <m/>
  </r>
  <r>
    <d v="2022-03-23T18:37:23"/>
    <x v="4"/>
    <x v="5"/>
    <s v="Service X"/>
    <n v="130991"/>
    <n v="57114"/>
    <n v="7643"/>
    <x v="3"/>
    <s v="Retail"/>
    <s v="Returning"/>
    <x v="0"/>
    <x v="1"/>
    <x v="1"/>
    <m/>
  </r>
  <r>
    <d v="2022-03-25T18:29:30"/>
    <x v="0"/>
    <x v="2"/>
    <s v="Service X"/>
    <n v="145588"/>
    <n v="40067"/>
    <n v="45785"/>
    <x v="0"/>
    <s v="Wholesale"/>
    <s v="New"/>
    <x v="0"/>
    <x v="1"/>
    <x v="1"/>
    <m/>
  </r>
  <r>
    <d v="2022-03-27T18:21:38"/>
    <x v="3"/>
    <x v="6"/>
    <s v="Product D"/>
    <n v="120005"/>
    <n v="44685"/>
    <n v="23681"/>
    <x v="1"/>
    <s v="Wholesale"/>
    <s v="New"/>
    <x v="0"/>
    <x v="1"/>
    <x v="1"/>
    <m/>
  </r>
  <r>
    <d v="2022-03-29T18:13:46"/>
    <x v="3"/>
    <x v="4"/>
    <s v="Product D"/>
    <n v="7396"/>
    <n v="20073"/>
    <n v="55026"/>
    <x v="1"/>
    <s v="Retail"/>
    <s v="New"/>
    <x v="0"/>
    <x v="1"/>
    <x v="1"/>
    <m/>
  </r>
  <r>
    <d v="2022-03-31T18:05:54"/>
    <x v="4"/>
    <x v="6"/>
    <s v="Service X"/>
    <n v="89082"/>
    <n v="38035"/>
    <n v="108864"/>
    <x v="2"/>
    <s v="Retail"/>
    <s v="New"/>
    <x v="0"/>
    <x v="1"/>
    <x v="1"/>
    <m/>
  </r>
  <r>
    <d v="2022-04-02T17:58:02"/>
    <x v="3"/>
    <x v="4"/>
    <s v="Product B"/>
    <n v="133322"/>
    <n v="66977"/>
    <n v="20892"/>
    <x v="2"/>
    <s v="Retail"/>
    <s v="New"/>
    <x v="0"/>
    <x v="1"/>
    <x v="1"/>
    <m/>
  </r>
  <r>
    <d v="2022-04-04T17:50:10"/>
    <x v="1"/>
    <x v="0"/>
    <s v="Product C"/>
    <n v="137663"/>
    <n v="92373"/>
    <n v="52299"/>
    <x v="3"/>
    <s v="Retail"/>
    <s v="Returning"/>
    <x v="0"/>
    <x v="1"/>
    <x v="1"/>
    <m/>
  </r>
  <r>
    <d v="2022-04-06T17:42:18"/>
    <x v="3"/>
    <x v="2"/>
    <s v="Product C"/>
    <n v="16303"/>
    <n v="85362"/>
    <n v="22073"/>
    <x v="2"/>
    <s v="Wholesale"/>
    <s v="Returning"/>
    <x v="0"/>
    <x v="1"/>
    <x v="1"/>
    <m/>
  </r>
  <r>
    <d v="2022-04-08T17:34:26"/>
    <x v="0"/>
    <x v="5"/>
    <s v="Product C"/>
    <n v="76719"/>
    <n v="92517"/>
    <n v="107304"/>
    <x v="2"/>
    <s v="Wholesale"/>
    <s v="Returning"/>
    <x v="0"/>
    <x v="1"/>
    <x v="1"/>
    <m/>
  </r>
  <r>
    <d v="2022-04-10T17:26:33"/>
    <x v="0"/>
    <x v="3"/>
    <s v="Product D"/>
    <n v="104616"/>
    <n v="67450"/>
    <n v="35682"/>
    <x v="2"/>
    <s v="Online"/>
    <s v="Returning"/>
    <x v="0"/>
    <x v="1"/>
    <x v="1"/>
    <m/>
  </r>
  <r>
    <d v="2022-04-12T17:18:41"/>
    <x v="0"/>
    <x v="4"/>
    <s v="Product D"/>
    <n v="129165"/>
    <n v="12382"/>
    <n v="102798"/>
    <x v="1"/>
    <s v="Online"/>
    <s v="New"/>
    <x v="0"/>
    <x v="1"/>
    <x v="1"/>
    <m/>
  </r>
  <r>
    <d v="2022-04-14T17:10:49"/>
    <x v="0"/>
    <x v="6"/>
    <s v="Product B"/>
    <n v="91231"/>
    <n v="6437"/>
    <n v="101894"/>
    <x v="1"/>
    <s v="Wholesale"/>
    <s v="New"/>
    <x v="0"/>
    <x v="1"/>
    <x v="1"/>
    <m/>
  </r>
  <r>
    <d v="2022-04-16T17:02:57"/>
    <x v="1"/>
    <x v="5"/>
    <s v="Product C"/>
    <n v="12314"/>
    <n v="72971"/>
    <n v="19289"/>
    <x v="1"/>
    <s v="Online"/>
    <s v="New"/>
    <x v="0"/>
    <x v="1"/>
    <x v="1"/>
    <m/>
  </r>
  <r>
    <d v="2022-04-18T16:55:05"/>
    <x v="2"/>
    <x v="4"/>
    <s v="Product C"/>
    <n v="24623"/>
    <n v="66612"/>
    <n v="12927"/>
    <x v="2"/>
    <s v="Wholesale"/>
    <s v="New"/>
    <x v="0"/>
    <x v="1"/>
    <x v="1"/>
    <m/>
  </r>
  <r>
    <d v="2022-04-20T16:47:13"/>
    <x v="4"/>
    <x v="4"/>
    <s v="Service X"/>
    <n v="110228"/>
    <n v="92355"/>
    <n v="53330"/>
    <x v="1"/>
    <s v="Online"/>
    <s v="New"/>
    <x v="0"/>
    <x v="1"/>
    <x v="1"/>
    <m/>
  </r>
  <r>
    <d v="2022-04-22T16:39:21"/>
    <x v="0"/>
    <x v="4"/>
    <s v="Product D"/>
    <n v="102624"/>
    <n v="63929"/>
    <n v="71707"/>
    <x v="2"/>
    <s v="Retail"/>
    <s v="Returning"/>
    <x v="0"/>
    <x v="1"/>
    <x v="1"/>
    <m/>
  </r>
  <r>
    <d v="2022-04-24T16:31:29"/>
    <x v="3"/>
    <x v="3"/>
    <s v="Product C"/>
    <n v="116785"/>
    <n v="99518"/>
    <n v="82454"/>
    <x v="1"/>
    <s v="Online"/>
    <s v="Returning"/>
    <x v="0"/>
    <x v="1"/>
    <x v="1"/>
    <m/>
  </r>
  <r>
    <d v="2022-04-26T16:23:36"/>
    <x v="0"/>
    <x v="2"/>
    <s v="Service Y"/>
    <n v="91206"/>
    <n v="14329"/>
    <n v="112439"/>
    <x v="1"/>
    <s v="Retail"/>
    <s v="New"/>
    <x v="0"/>
    <x v="1"/>
    <x v="1"/>
    <m/>
  </r>
  <r>
    <d v="2022-04-28T16:15:44"/>
    <x v="3"/>
    <x v="3"/>
    <s v="Product B"/>
    <n v="74274"/>
    <n v="27169"/>
    <n v="109646"/>
    <x v="0"/>
    <s v="Retail"/>
    <s v="New"/>
    <x v="0"/>
    <x v="1"/>
    <x v="1"/>
    <m/>
  </r>
  <r>
    <d v="2022-04-30T16:07:52"/>
    <x v="3"/>
    <x v="1"/>
    <s v="Service Y"/>
    <n v="138541"/>
    <n v="89468"/>
    <n v="70428"/>
    <x v="3"/>
    <s v="Retail"/>
    <s v="New"/>
    <x v="0"/>
    <x v="1"/>
    <x v="1"/>
    <m/>
  </r>
  <r>
    <d v="2022-05-02T16:00:00"/>
    <x v="0"/>
    <x v="5"/>
    <s v="Service Y"/>
    <n v="58947"/>
    <n v="36594"/>
    <n v="55601"/>
    <x v="2"/>
    <s v="Retail"/>
    <s v="Returning"/>
    <x v="0"/>
    <x v="1"/>
    <x v="1"/>
    <m/>
  </r>
  <r>
    <d v="2022-05-04T15:52:08"/>
    <x v="1"/>
    <x v="2"/>
    <s v="Product B"/>
    <n v="53874"/>
    <n v="78957"/>
    <n v="82465"/>
    <x v="0"/>
    <s v="Online"/>
    <s v="New"/>
    <x v="0"/>
    <x v="1"/>
    <x v="1"/>
    <m/>
  </r>
  <r>
    <d v="2022-05-06T15:44:16"/>
    <x v="3"/>
    <x v="2"/>
    <s v="Service Y"/>
    <n v="54708"/>
    <n v="62631"/>
    <n v="7539"/>
    <x v="1"/>
    <s v="Wholesale"/>
    <s v="New"/>
    <x v="0"/>
    <x v="1"/>
    <x v="1"/>
    <m/>
  </r>
  <r>
    <d v="2022-05-08T15:36:24"/>
    <x v="3"/>
    <x v="2"/>
    <s v="Product C"/>
    <n v="79553"/>
    <n v="47033"/>
    <n v="107263"/>
    <x v="2"/>
    <s v="Retail"/>
    <s v="New"/>
    <x v="0"/>
    <x v="1"/>
    <x v="1"/>
    <m/>
  </r>
  <r>
    <d v="2022-05-10T15:28:31"/>
    <x v="0"/>
    <x v="6"/>
    <s v="Product D"/>
    <n v="73344"/>
    <n v="65133"/>
    <n v="116487"/>
    <x v="1"/>
    <s v="Online"/>
    <s v="Returning"/>
    <x v="0"/>
    <x v="1"/>
    <x v="1"/>
    <m/>
  </r>
  <r>
    <d v="2022-05-12T15:20:39"/>
    <x v="3"/>
    <x v="2"/>
    <s v="Product B"/>
    <n v="54138"/>
    <n v="75165"/>
    <n v="27669"/>
    <x v="3"/>
    <s v="Retail"/>
    <s v="New"/>
    <x v="0"/>
    <x v="1"/>
    <x v="1"/>
    <m/>
  </r>
  <r>
    <d v="2022-05-14T15:12:47"/>
    <x v="3"/>
    <x v="3"/>
    <s v="Service X"/>
    <n v="52638"/>
    <n v="75861"/>
    <n v="75968"/>
    <x v="0"/>
    <s v="Online"/>
    <s v="Returning"/>
    <x v="0"/>
    <x v="1"/>
    <x v="1"/>
    <m/>
  </r>
  <r>
    <d v="2022-05-16T15:04:55"/>
    <x v="0"/>
    <x v="2"/>
    <s v="Service Y"/>
    <n v="83249"/>
    <n v="54290"/>
    <n v="25644"/>
    <x v="3"/>
    <s v="Online"/>
    <s v="Returning"/>
    <x v="0"/>
    <x v="1"/>
    <x v="1"/>
    <m/>
  </r>
  <r>
    <d v="2022-05-18T14:57:03"/>
    <x v="0"/>
    <x v="0"/>
    <s v="Product B"/>
    <n v="110865"/>
    <n v="96031"/>
    <n v="23745"/>
    <x v="0"/>
    <s v="Online"/>
    <s v="Returning"/>
    <x v="0"/>
    <x v="1"/>
    <x v="1"/>
    <m/>
  </r>
  <r>
    <d v="2022-05-20T14:49:11"/>
    <x v="4"/>
    <x v="5"/>
    <s v="Product A"/>
    <n v="7719"/>
    <n v="33750"/>
    <n v="33228"/>
    <x v="1"/>
    <s v="Wholesale"/>
    <s v="Returning"/>
    <x v="0"/>
    <x v="1"/>
    <x v="1"/>
    <m/>
  </r>
  <r>
    <d v="2022-05-22T14:41:19"/>
    <x v="1"/>
    <x v="2"/>
    <s v="Product A"/>
    <n v="47534"/>
    <n v="97155"/>
    <n v="39521"/>
    <x v="3"/>
    <s v="Online"/>
    <s v="Returning"/>
    <x v="0"/>
    <x v="1"/>
    <x v="1"/>
    <m/>
  </r>
  <r>
    <d v="2022-05-24T14:33:27"/>
    <x v="1"/>
    <x v="5"/>
    <s v="Product D"/>
    <n v="97241"/>
    <n v="42461"/>
    <n v="102239"/>
    <x v="3"/>
    <s v="Online"/>
    <s v="Returning"/>
    <x v="0"/>
    <x v="1"/>
    <x v="1"/>
    <m/>
  </r>
  <r>
    <d v="2022-05-26T14:25:34"/>
    <x v="3"/>
    <x v="0"/>
    <s v="Product C"/>
    <n v="131209"/>
    <n v="75800"/>
    <n v="31928"/>
    <x v="1"/>
    <s v="Wholesale"/>
    <s v="New"/>
    <x v="0"/>
    <x v="1"/>
    <x v="1"/>
    <m/>
  </r>
  <r>
    <d v="2022-05-28T14:17:42"/>
    <x v="1"/>
    <x v="0"/>
    <s v="Product D"/>
    <n v="97124"/>
    <n v="80222"/>
    <n v="23322"/>
    <x v="3"/>
    <s v="Wholesale"/>
    <s v="New"/>
    <x v="0"/>
    <x v="1"/>
    <x v="1"/>
    <m/>
  </r>
  <r>
    <d v="2022-05-30T14:09:50"/>
    <x v="3"/>
    <x v="5"/>
    <s v="Product D"/>
    <n v="96659"/>
    <n v="26226"/>
    <n v="62714"/>
    <x v="2"/>
    <s v="Online"/>
    <s v="New"/>
    <x v="0"/>
    <x v="1"/>
    <x v="1"/>
    <m/>
  </r>
  <r>
    <d v="2022-06-01T14:01:58"/>
    <x v="4"/>
    <x v="4"/>
    <s v="Product D"/>
    <n v="80713"/>
    <n v="8721"/>
    <n v="92896"/>
    <x v="0"/>
    <s v="Wholesale"/>
    <s v="Returning"/>
    <x v="0"/>
    <x v="1"/>
    <x v="1"/>
    <m/>
  </r>
  <r>
    <d v="2022-06-03T13:54:06"/>
    <x v="0"/>
    <x v="1"/>
    <s v="Product D"/>
    <n v="80418"/>
    <n v="58154"/>
    <n v="67292"/>
    <x v="0"/>
    <s v="Retail"/>
    <s v="New"/>
    <x v="0"/>
    <x v="1"/>
    <x v="1"/>
    <m/>
  </r>
  <r>
    <d v="2022-06-05T13:46:14"/>
    <x v="0"/>
    <x v="6"/>
    <s v="Service X"/>
    <n v="133232"/>
    <n v="22609"/>
    <n v="34055"/>
    <x v="0"/>
    <s v="Retail"/>
    <s v="Returning"/>
    <x v="0"/>
    <x v="1"/>
    <x v="1"/>
    <m/>
  </r>
  <r>
    <d v="2022-06-07T13:38:22"/>
    <x v="0"/>
    <x v="4"/>
    <s v="Service X"/>
    <n v="149059"/>
    <n v="54130"/>
    <n v="47891"/>
    <x v="2"/>
    <s v="Wholesale"/>
    <s v="Returning"/>
    <x v="0"/>
    <x v="1"/>
    <x v="1"/>
    <m/>
  </r>
  <r>
    <d v="2022-06-09T13:30:30"/>
    <x v="1"/>
    <x v="4"/>
    <s v="Product B"/>
    <n v="36575"/>
    <n v="74909"/>
    <n v="86912"/>
    <x v="0"/>
    <s v="Wholesale"/>
    <s v="Returning"/>
    <x v="0"/>
    <x v="1"/>
    <x v="1"/>
    <m/>
  </r>
  <r>
    <d v="2022-06-11T13:22:37"/>
    <x v="4"/>
    <x v="3"/>
    <s v="Product A"/>
    <n v="68852"/>
    <n v="57249"/>
    <n v="11588"/>
    <x v="1"/>
    <s v="Online"/>
    <s v="New"/>
    <x v="0"/>
    <x v="1"/>
    <x v="1"/>
    <m/>
  </r>
  <r>
    <d v="2022-06-13T13:14:45"/>
    <x v="1"/>
    <x v="6"/>
    <s v="Product D"/>
    <n v="137079"/>
    <n v="50895"/>
    <n v="95536"/>
    <x v="3"/>
    <s v="Wholesale"/>
    <s v="Returning"/>
    <x v="0"/>
    <x v="1"/>
    <x v="1"/>
    <m/>
  </r>
  <r>
    <d v="2022-06-15T13:06:53"/>
    <x v="1"/>
    <x v="6"/>
    <s v="Product B"/>
    <n v="81242"/>
    <n v="96473"/>
    <n v="11304"/>
    <x v="2"/>
    <s v="Online"/>
    <s v="Returning"/>
    <x v="0"/>
    <x v="1"/>
    <x v="1"/>
    <m/>
  </r>
  <r>
    <d v="2022-06-17T12:59:01"/>
    <x v="4"/>
    <x v="4"/>
    <s v="Product A"/>
    <n v="34257"/>
    <n v="7656"/>
    <n v="12345"/>
    <x v="0"/>
    <s v="Retail"/>
    <s v="New"/>
    <x v="0"/>
    <x v="1"/>
    <x v="1"/>
    <m/>
  </r>
  <r>
    <d v="2022-06-19T12:51:09"/>
    <x v="4"/>
    <x v="2"/>
    <s v="Service Y"/>
    <n v="149353"/>
    <n v="76520"/>
    <n v="34300"/>
    <x v="1"/>
    <s v="Wholesale"/>
    <s v="New"/>
    <x v="0"/>
    <x v="1"/>
    <x v="1"/>
    <m/>
  </r>
  <r>
    <d v="2022-06-21T12:43:17"/>
    <x v="4"/>
    <x v="3"/>
    <s v="Product C"/>
    <n v="66246"/>
    <n v="65740"/>
    <n v="29259"/>
    <x v="3"/>
    <s v="Online"/>
    <s v="Returning"/>
    <x v="0"/>
    <x v="1"/>
    <x v="1"/>
    <m/>
  </r>
  <r>
    <d v="2022-06-23T12:35:25"/>
    <x v="4"/>
    <x v="3"/>
    <s v="Service X"/>
    <n v="6435"/>
    <n v="66309"/>
    <n v="96006"/>
    <x v="3"/>
    <s v="Online"/>
    <s v="Returning"/>
    <x v="0"/>
    <x v="1"/>
    <x v="1"/>
    <m/>
  </r>
  <r>
    <d v="2022-06-25T12:27:32"/>
    <x v="0"/>
    <x v="0"/>
    <s v="Service Y"/>
    <n v="96357"/>
    <n v="31984"/>
    <n v="93553"/>
    <x v="2"/>
    <s v="Retail"/>
    <s v="New"/>
    <x v="0"/>
    <x v="1"/>
    <x v="1"/>
    <m/>
  </r>
  <r>
    <d v="2022-06-27T12:19:40"/>
    <x v="2"/>
    <x v="6"/>
    <s v="Product A"/>
    <n v="141156"/>
    <n v="75822"/>
    <n v="20352"/>
    <x v="2"/>
    <s v="Wholesale"/>
    <s v="New"/>
    <x v="0"/>
    <x v="1"/>
    <x v="1"/>
    <m/>
  </r>
  <r>
    <d v="2022-06-29T12:11:48"/>
    <x v="2"/>
    <x v="4"/>
    <s v="Service Y"/>
    <n v="149579"/>
    <n v="7901"/>
    <n v="38365"/>
    <x v="2"/>
    <s v="Retail"/>
    <s v="New"/>
    <x v="0"/>
    <x v="1"/>
    <x v="1"/>
    <m/>
  </r>
  <r>
    <d v="2022-07-01T12:03:56"/>
    <x v="4"/>
    <x v="0"/>
    <s v="Product C"/>
    <n v="88807"/>
    <n v="33552"/>
    <n v="24446"/>
    <x v="1"/>
    <s v="Online"/>
    <s v="Returning"/>
    <x v="0"/>
    <x v="1"/>
    <x v="1"/>
    <m/>
  </r>
  <r>
    <d v="2022-07-03T11:56:04"/>
    <x v="2"/>
    <x v="5"/>
    <s v="Product A"/>
    <n v="120953"/>
    <n v="93245"/>
    <n v="7336"/>
    <x v="1"/>
    <s v="Online"/>
    <s v="New"/>
    <x v="0"/>
    <x v="1"/>
    <x v="1"/>
    <m/>
  </r>
  <r>
    <d v="2022-07-05T11:48:12"/>
    <x v="2"/>
    <x v="1"/>
    <s v="Service Y"/>
    <n v="143563"/>
    <n v="33055"/>
    <n v="67032"/>
    <x v="2"/>
    <s v="Wholesale"/>
    <s v="New"/>
    <x v="0"/>
    <x v="1"/>
    <x v="1"/>
    <m/>
  </r>
  <r>
    <d v="2022-07-07T11:40:20"/>
    <x v="4"/>
    <x v="3"/>
    <s v="Service X"/>
    <n v="128797"/>
    <n v="39685"/>
    <n v="80415"/>
    <x v="0"/>
    <s v="Online"/>
    <s v="New"/>
    <x v="0"/>
    <x v="1"/>
    <x v="1"/>
    <m/>
  </r>
  <r>
    <d v="2022-07-09T11:32:28"/>
    <x v="2"/>
    <x v="5"/>
    <s v="Service X"/>
    <n v="68888"/>
    <n v="75965"/>
    <n v="102852"/>
    <x v="3"/>
    <s v="Wholesale"/>
    <s v="Returning"/>
    <x v="0"/>
    <x v="1"/>
    <x v="1"/>
    <m/>
  </r>
  <r>
    <d v="2022-07-11T11:24:35"/>
    <x v="1"/>
    <x v="5"/>
    <s v="Product B"/>
    <n v="78609"/>
    <n v="16716"/>
    <n v="103876"/>
    <x v="3"/>
    <s v="Retail"/>
    <s v="New"/>
    <x v="0"/>
    <x v="1"/>
    <x v="1"/>
    <m/>
  </r>
  <r>
    <d v="2022-07-13T11:16:43"/>
    <x v="3"/>
    <x v="2"/>
    <s v="Service Y"/>
    <n v="14077"/>
    <n v="13138"/>
    <n v="12521"/>
    <x v="1"/>
    <s v="Wholesale"/>
    <s v="New"/>
    <x v="0"/>
    <x v="1"/>
    <x v="1"/>
    <m/>
  </r>
  <r>
    <d v="2022-07-15T11:08:51"/>
    <x v="3"/>
    <x v="1"/>
    <s v="Product D"/>
    <n v="25953"/>
    <n v="37298"/>
    <n v="76707"/>
    <x v="3"/>
    <s v="Wholesale"/>
    <s v="New"/>
    <x v="0"/>
    <x v="1"/>
    <x v="1"/>
    <m/>
  </r>
  <r>
    <d v="2022-07-17T11:00:59"/>
    <x v="4"/>
    <x v="5"/>
    <s v="Service Y"/>
    <n v="119682"/>
    <n v="53112"/>
    <n v="28481"/>
    <x v="0"/>
    <s v="Online"/>
    <s v="New"/>
    <x v="0"/>
    <x v="1"/>
    <x v="1"/>
    <m/>
  </r>
  <r>
    <d v="2022-07-19T10:53:07"/>
    <x v="0"/>
    <x v="5"/>
    <s v="Product A"/>
    <n v="72889"/>
    <n v="25429"/>
    <n v="23474"/>
    <x v="3"/>
    <s v="Online"/>
    <s v="New"/>
    <x v="0"/>
    <x v="1"/>
    <x v="1"/>
    <m/>
  </r>
  <r>
    <d v="2022-07-21T10:45:15"/>
    <x v="4"/>
    <x v="1"/>
    <s v="Product A"/>
    <n v="120374"/>
    <n v="52200"/>
    <n v="51760"/>
    <x v="1"/>
    <s v="Wholesale"/>
    <s v="Returning"/>
    <x v="0"/>
    <x v="1"/>
    <x v="1"/>
    <m/>
  </r>
  <r>
    <d v="2022-07-23T10:37:23"/>
    <x v="0"/>
    <x v="1"/>
    <s v="Service Y"/>
    <n v="29860"/>
    <n v="73308"/>
    <n v="60718"/>
    <x v="1"/>
    <s v="Online"/>
    <s v="Returning"/>
    <x v="0"/>
    <x v="1"/>
    <x v="1"/>
    <m/>
  </r>
  <r>
    <d v="2022-07-25T10:29:30"/>
    <x v="3"/>
    <x v="5"/>
    <s v="Product C"/>
    <n v="82475"/>
    <n v="50244"/>
    <n v="49629"/>
    <x v="0"/>
    <s v="Online"/>
    <s v="Returning"/>
    <x v="0"/>
    <x v="1"/>
    <x v="1"/>
    <m/>
  </r>
  <r>
    <d v="2022-07-27T10:21:38"/>
    <x v="4"/>
    <x v="1"/>
    <s v="Service X"/>
    <n v="92266"/>
    <n v="19347"/>
    <n v="50232"/>
    <x v="0"/>
    <s v="Online"/>
    <s v="New"/>
    <x v="0"/>
    <x v="1"/>
    <x v="1"/>
    <m/>
  </r>
  <r>
    <d v="2022-07-29T10:13:46"/>
    <x v="1"/>
    <x v="5"/>
    <s v="Product A"/>
    <n v="105732"/>
    <n v="18920"/>
    <n v="91544"/>
    <x v="3"/>
    <s v="Wholesale"/>
    <s v="Returning"/>
    <x v="0"/>
    <x v="1"/>
    <x v="1"/>
    <m/>
  </r>
  <r>
    <d v="2022-07-31T10:05:54"/>
    <x v="2"/>
    <x v="5"/>
    <s v="Service X"/>
    <n v="32083"/>
    <n v="33822"/>
    <n v="72169"/>
    <x v="3"/>
    <s v="Online"/>
    <s v="Returning"/>
    <x v="0"/>
    <x v="1"/>
    <x v="1"/>
    <m/>
  </r>
  <r>
    <d v="2022-08-02T09:58:02"/>
    <x v="0"/>
    <x v="2"/>
    <s v="Product A"/>
    <n v="62372"/>
    <n v="48659"/>
    <n v="55669"/>
    <x v="1"/>
    <s v="Wholesale"/>
    <s v="Returning"/>
    <x v="0"/>
    <x v="1"/>
    <x v="1"/>
    <m/>
  </r>
  <r>
    <d v="2022-08-04T09:50:10"/>
    <x v="2"/>
    <x v="4"/>
    <s v="Product B"/>
    <n v="128786"/>
    <n v="42108"/>
    <n v="83021"/>
    <x v="0"/>
    <s v="Online"/>
    <s v="New"/>
    <x v="0"/>
    <x v="1"/>
    <x v="1"/>
    <m/>
  </r>
  <r>
    <d v="2022-08-06T09:42:18"/>
    <x v="2"/>
    <x v="5"/>
    <s v="Product D"/>
    <n v="12813"/>
    <n v="91099"/>
    <n v="114153"/>
    <x v="0"/>
    <s v="Retail"/>
    <s v="New"/>
    <x v="0"/>
    <x v="1"/>
    <x v="1"/>
    <m/>
  </r>
  <r>
    <d v="2022-08-08T09:34:26"/>
    <x v="4"/>
    <x v="0"/>
    <s v="Product A"/>
    <n v="36598"/>
    <n v="9967"/>
    <n v="74184"/>
    <x v="0"/>
    <s v="Online"/>
    <s v="Returning"/>
    <x v="0"/>
    <x v="1"/>
    <x v="1"/>
    <m/>
  </r>
  <r>
    <d v="2022-08-10T09:26:33"/>
    <x v="2"/>
    <x v="3"/>
    <s v="Service X"/>
    <n v="98106"/>
    <n v="13871"/>
    <n v="52945"/>
    <x v="3"/>
    <s v="Online"/>
    <s v="Returning"/>
    <x v="0"/>
    <x v="1"/>
    <x v="1"/>
    <m/>
  </r>
  <r>
    <d v="2022-08-12T09:18:41"/>
    <x v="1"/>
    <x v="6"/>
    <s v="Product B"/>
    <n v="32082"/>
    <n v="96299"/>
    <n v="18140"/>
    <x v="0"/>
    <s v="Wholesale"/>
    <s v="New"/>
    <x v="0"/>
    <x v="1"/>
    <x v="1"/>
    <m/>
  </r>
  <r>
    <d v="2022-08-14T09:10:49"/>
    <x v="2"/>
    <x v="4"/>
    <s v="Product A"/>
    <n v="34241"/>
    <n v="79452"/>
    <n v="88457"/>
    <x v="1"/>
    <s v="Wholesale"/>
    <s v="New"/>
    <x v="0"/>
    <x v="1"/>
    <x v="1"/>
    <m/>
  </r>
  <r>
    <d v="2022-08-16T09:02:57"/>
    <x v="4"/>
    <x v="4"/>
    <s v="Product C"/>
    <n v="16745"/>
    <n v="76270"/>
    <n v="19357"/>
    <x v="1"/>
    <s v="Online"/>
    <s v="Returning"/>
    <x v="0"/>
    <x v="1"/>
    <x v="1"/>
    <m/>
  </r>
  <r>
    <d v="2022-08-18T08:55:05"/>
    <x v="1"/>
    <x v="4"/>
    <s v="Product D"/>
    <n v="31029"/>
    <n v="35613"/>
    <n v="116672"/>
    <x v="3"/>
    <s v="Retail"/>
    <s v="New"/>
    <x v="0"/>
    <x v="1"/>
    <x v="1"/>
    <m/>
  </r>
  <r>
    <d v="2022-08-20T08:47:13"/>
    <x v="3"/>
    <x v="2"/>
    <s v="Product A"/>
    <n v="149097"/>
    <n v="30179"/>
    <n v="73673"/>
    <x v="2"/>
    <s v="Online"/>
    <s v="Returning"/>
    <x v="0"/>
    <x v="1"/>
    <x v="1"/>
    <m/>
  </r>
  <r>
    <d v="2022-08-22T08:39:21"/>
    <x v="2"/>
    <x v="5"/>
    <s v="Product B"/>
    <n v="128395"/>
    <n v="54188"/>
    <n v="70633"/>
    <x v="3"/>
    <s v="Online"/>
    <s v="New"/>
    <x v="0"/>
    <x v="1"/>
    <x v="1"/>
    <m/>
  </r>
  <r>
    <d v="2022-08-24T08:31:29"/>
    <x v="4"/>
    <x v="2"/>
    <s v="Product C"/>
    <n v="94186"/>
    <n v="57099"/>
    <n v="81943"/>
    <x v="2"/>
    <s v="Retail"/>
    <s v="Returning"/>
    <x v="0"/>
    <x v="1"/>
    <x v="1"/>
    <m/>
  </r>
  <r>
    <d v="2022-08-26T08:23:36"/>
    <x v="3"/>
    <x v="5"/>
    <s v="Service Y"/>
    <n v="142612"/>
    <n v="37262"/>
    <n v="101111"/>
    <x v="0"/>
    <s v="Wholesale"/>
    <s v="Returning"/>
    <x v="0"/>
    <x v="1"/>
    <x v="1"/>
    <m/>
  </r>
  <r>
    <d v="2022-08-28T08:15:44"/>
    <x v="3"/>
    <x v="2"/>
    <s v="Product B"/>
    <n v="102768"/>
    <n v="80213"/>
    <n v="83258"/>
    <x v="3"/>
    <s v="Online"/>
    <s v="New"/>
    <x v="0"/>
    <x v="1"/>
    <x v="1"/>
    <m/>
  </r>
  <r>
    <d v="2022-08-30T08:07:52"/>
    <x v="0"/>
    <x v="2"/>
    <s v="Product B"/>
    <n v="46846"/>
    <n v="20268"/>
    <n v="17924"/>
    <x v="1"/>
    <s v="Wholesale"/>
    <s v="Returning"/>
    <x v="0"/>
    <x v="1"/>
    <x v="1"/>
    <m/>
  </r>
  <r>
    <d v="2022-09-01T08:00:00"/>
    <x v="1"/>
    <x v="3"/>
    <s v="Product C"/>
    <n v="80932"/>
    <n v="79866"/>
    <n v="74286"/>
    <x v="0"/>
    <s v="Wholesale"/>
    <s v="Returning"/>
    <x v="0"/>
    <x v="1"/>
    <x v="1"/>
    <m/>
  </r>
  <r>
    <d v="2022-09-03T07:52:08"/>
    <x v="2"/>
    <x v="0"/>
    <s v="Product B"/>
    <n v="28411"/>
    <n v="88269"/>
    <n v="98269"/>
    <x v="1"/>
    <s v="Retail"/>
    <s v="Returning"/>
    <x v="0"/>
    <x v="1"/>
    <x v="1"/>
    <m/>
  </r>
  <r>
    <d v="2022-09-05T07:44:16"/>
    <x v="4"/>
    <x v="2"/>
    <s v="Product C"/>
    <n v="83797"/>
    <n v="62545"/>
    <n v="79071"/>
    <x v="0"/>
    <s v="Retail"/>
    <s v="New"/>
    <x v="0"/>
    <x v="1"/>
    <x v="1"/>
    <m/>
  </r>
  <r>
    <d v="2022-09-07T07:36:24"/>
    <x v="0"/>
    <x v="3"/>
    <s v="Product A"/>
    <n v="57307"/>
    <n v="94822"/>
    <n v="62326"/>
    <x v="3"/>
    <s v="Wholesale"/>
    <s v="New"/>
    <x v="0"/>
    <x v="1"/>
    <x v="1"/>
    <m/>
  </r>
  <r>
    <d v="2022-09-09T07:28:31"/>
    <x v="1"/>
    <x v="1"/>
    <s v="Product C"/>
    <n v="139165"/>
    <n v="74146"/>
    <n v="95023"/>
    <x v="2"/>
    <s v="Online"/>
    <s v="New"/>
    <x v="0"/>
    <x v="1"/>
    <x v="1"/>
    <m/>
  </r>
  <r>
    <d v="2022-09-11T07:20:39"/>
    <x v="0"/>
    <x v="0"/>
    <s v="Product C"/>
    <n v="27042"/>
    <n v="73966"/>
    <n v="35651"/>
    <x v="0"/>
    <s v="Wholesale"/>
    <s v="Returning"/>
    <x v="0"/>
    <x v="1"/>
    <x v="1"/>
    <m/>
  </r>
  <r>
    <d v="2022-09-13T07:12:47"/>
    <x v="1"/>
    <x v="2"/>
    <s v="Product D"/>
    <n v="57930"/>
    <n v="41922"/>
    <n v="75202"/>
    <x v="2"/>
    <s v="Online"/>
    <s v="New"/>
    <x v="0"/>
    <x v="1"/>
    <x v="1"/>
    <m/>
  </r>
  <r>
    <d v="2022-09-15T07:04:55"/>
    <x v="1"/>
    <x v="6"/>
    <s v="Product C"/>
    <n v="102883"/>
    <n v="81364"/>
    <n v="53777"/>
    <x v="0"/>
    <s v="Online"/>
    <s v="Returning"/>
    <x v="0"/>
    <x v="1"/>
    <x v="1"/>
    <m/>
  </r>
  <r>
    <d v="2022-09-17T06:57:03"/>
    <x v="2"/>
    <x v="4"/>
    <s v="Product C"/>
    <n v="38756"/>
    <n v="44913"/>
    <n v="21994"/>
    <x v="1"/>
    <s v="Retail"/>
    <s v="Returning"/>
    <x v="0"/>
    <x v="1"/>
    <x v="1"/>
    <m/>
  </r>
  <r>
    <d v="2022-09-19T06:49:11"/>
    <x v="1"/>
    <x v="1"/>
    <s v="Service Y"/>
    <n v="58268"/>
    <n v="99033"/>
    <n v="72263"/>
    <x v="1"/>
    <s v="Online"/>
    <s v="New"/>
    <x v="0"/>
    <x v="1"/>
    <x v="1"/>
    <m/>
  </r>
  <r>
    <d v="2022-09-21T06:41:19"/>
    <x v="0"/>
    <x v="1"/>
    <s v="Product A"/>
    <n v="53901"/>
    <n v="57677"/>
    <n v="64634"/>
    <x v="0"/>
    <s v="Online"/>
    <s v="New"/>
    <x v="0"/>
    <x v="1"/>
    <x v="1"/>
    <m/>
  </r>
  <r>
    <d v="2022-09-23T06:33:27"/>
    <x v="1"/>
    <x v="3"/>
    <s v="Product D"/>
    <n v="104986"/>
    <n v="51841"/>
    <n v="105158"/>
    <x v="2"/>
    <s v="Wholesale"/>
    <s v="Returning"/>
    <x v="0"/>
    <x v="1"/>
    <x v="1"/>
    <m/>
  </r>
  <r>
    <d v="2022-09-25T06:25:34"/>
    <x v="2"/>
    <x v="1"/>
    <s v="Service Y"/>
    <n v="133386"/>
    <n v="48332"/>
    <n v="15800"/>
    <x v="3"/>
    <s v="Retail"/>
    <s v="Returning"/>
    <x v="0"/>
    <x v="1"/>
    <x v="1"/>
    <m/>
  </r>
  <r>
    <d v="2022-09-27T06:17:42"/>
    <x v="2"/>
    <x v="0"/>
    <s v="Service X"/>
    <n v="10626"/>
    <n v="94062"/>
    <n v="42823"/>
    <x v="3"/>
    <s v="Online"/>
    <s v="New"/>
    <x v="0"/>
    <x v="1"/>
    <x v="1"/>
    <m/>
  </r>
  <r>
    <d v="2022-09-29T06:09:50"/>
    <x v="0"/>
    <x v="2"/>
    <s v="Product A"/>
    <n v="143496"/>
    <n v="97694"/>
    <n v="113575"/>
    <x v="1"/>
    <s v="Online"/>
    <s v="New"/>
    <x v="0"/>
    <x v="1"/>
    <x v="1"/>
    <m/>
  </r>
  <r>
    <d v="2022-10-01T06:01:58"/>
    <x v="3"/>
    <x v="2"/>
    <s v="Product A"/>
    <n v="17857"/>
    <n v="27032"/>
    <n v="68878"/>
    <x v="3"/>
    <s v="Retail"/>
    <s v="New"/>
    <x v="0"/>
    <x v="1"/>
    <x v="1"/>
    <m/>
  </r>
  <r>
    <d v="2022-10-03T05:54:06"/>
    <x v="3"/>
    <x v="6"/>
    <s v="Service X"/>
    <n v="138052"/>
    <n v="39846"/>
    <n v="23708"/>
    <x v="1"/>
    <s v="Wholesale"/>
    <s v="Returning"/>
    <x v="0"/>
    <x v="1"/>
    <x v="1"/>
    <m/>
  </r>
  <r>
    <d v="2022-10-05T05:46:14"/>
    <x v="1"/>
    <x v="4"/>
    <s v="Product C"/>
    <n v="31431"/>
    <n v="61474"/>
    <n v="17819"/>
    <x v="3"/>
    <s v="Retail"/>
    <s v="Returning"/>
    <x v="0"/>
    <x v="1"/>
    <x v="1"/>
    <m/>
  </r>
  <r>
    <d v="2022-10-07T05:38:22"/>
    <x v="4"/>
    <x v="3"/>
    <s v="Service Y"/>
    <n v="89976"/>
    <n v="46936"/>
    <n v="79905"/>
    <x v="0"/>
    <s v="Retail"/>
    <s v="Returning"/>
    <x v="0"/>
    <x v="1"/>
    <x v="1"/>
    <m/>
  </r>
  <r>
    <d v="2022-10-09T05:30:30"/>
    <x v="1"/>
    <x v="4"/>
    <s v="Product B"/>
    <n v="87711"/>
    <n v="31794"/>
    <n v="68870"/>
    <x v="1"/>
    <s v="Online"/>
    <s v="Returning"/>
    <x v="0"/>
    <x v="1"/>
    <x v="1"/>
    <m/>
  </r>
  <r>
    <d v="2022-10-11T05:22:37"/>
    <x v="0"/>
    <x v="1"/>
    <s v="Product D"/>
    <n v="31385"/>
    <n v="63588"/>
    <n v="14283"/>
    <x v="1"/>
    <s v="Online"/>
    <s v="Returning"/>
    <x v="0"/>
    <x v="1"/>
    <x v="1"/>
    <m/>
  </r>
  <r>
    <d v="2022-10-13T05:14:45"/>
    <x v="0"/>
    <x v="6"/>
    <s v="Product B"/>
    <n v="23639"/>
    <n v="72984"/>
    <n v="35573"/>
    <x v="0"/>
    <s v="Wholesale"/>
    <s v="New"/>
    <x v="0"/>
    <x v="1"/>
    <x v="1"/>
    <m/>
  </r>
  <r>
    <d v="2022-10-15T05:06:53"/>
    <x v="0"/>
    <x v="4"/>
    <s v="Service X"/>
    <n v="90530"/>
    <n v="52331"/>
    <n v="83707"/>
    <x v="1"/>
    <s v="Online"/>
    <s v="New"/>
    <x v="0"/>
    <x v="1"/>
    <x v="1"/>
    <m/>
  </r>
  <r>
    <d v="2022-10-17T04:59:01"/>
    <x v="0"/>
    <x v="0"/>
    <s v="Product A"/>
    <n v="26563"/>
    <n v="96397"/>
    <n v="35933"/>
    <x v="3"/>
    <s v="Online"/>
    <s v="Returning"/>
    <x v="0"/>
    <x v="1"/>
    <x v="1"/>
    <m/>
  </r>
  <r>
    <d v="2022-10-19T04:51:09"/>
    <x v="0"/>
    <x v="2"/>
    <s v="Product A"/>
    <n v="120672"/>
    <n v="30141"/>
    <n v="10774"/>
    <x v="3"/>
    <s v="Retail"/>
    <s v="Returning"/>
    <x v="0"/>
    <x v="1"/>
    <x v="1"/>
    <m/>
  </r>
  <r>
    <d v="2022-10-21T04:43:17"/>
    <x v="2"/>
    <x v="1"/>
    <s v="Product D"/>
    <n v="141848"/>
    <n v="11074"/>
    <n v="77055"/>
    <x v="1"/>
    <s v="Online"/>
    <s v="New"/>
    <x v="0"/>
    <x v="1"/>
    <x v="1"/>
    <m/>
  </r>
  <r>
    <d v="2022-10-23T04:35:25"/>
    <x v="3"/>
    <x v="6"/>
    <s v="Product A"/>
    <n v="144783"/>
    <n v="8406"/>
    <n v="15983"/>
    <x v="3"/>
    <s v="Wholesale"/>
    <s v="New"/>
    <x v="0"/>
    <x v="1"/>
    <x v="1"/>
    <m/>
  </r>
  <r>
    <d v="2022-10-25T04:27:32"/>
    <x v="0"/>
    <x v="4"/>
    <s v="Product A"/>
    <n v="87970"/>
    <n v="99359"/>
    <n v="101468"/>
    <x v="2"/>
    <s v="Retail"/>
    <s v="New"/>
    <x v="0"/>
    <x v="1"/>
    <x v="1"/>
    <m/>
  </r>
  <r>
    <d v="2022-10-27T04:19:40"/>
    <x v="4"/>
    <x v="3"/>
    <s v="Product D"/>
    <n v="90553"/>
    <n v="25291"/>
    <n v="101334"/>
    <x v="1"/>
    <s v="Wholesale"/>
    <s v="New"/>
    <x v="0"/>
    <x v="1"/>
    <x v="1"/>
    <m/>
  </r>
  <r>
    <d v="2022-10-29T04:11:48"/>
    <x v="4"/>
    <x v="0"/>
    <s v="Service Y"/>
    <n v="87879"/>
    <n v="43568"/>
    <n v="23133"/>
    <x v="0"/>
    <s v="Retail"/>
    <s v="Returning"/>
    <x v="0"/>
    <x v="1"/>
    <x v="1"/>
    <m/>
  </r>
  <r>
    <d v="2022-10-31T04:03:56"/>
    <x v="4"/>
    <x v="0"/>
    <s v="Service Y"/>
    <n v="141727"/>
    <n v="99539"/>
    <n v="19939"/>
    <x v="2"/>
    <s v="Online"/>
    <s v="New"/>
    <x v="0"/>
    <x v="1"/>
    <x v="1"/>
    <m/>
  </r>
  <r>
    <d v="2022-11-02T03:56:04"/>
    <x v="4"/>
    <x v="4"/>
    <s v="Product D"/>
    <n v="49859"/>
    <n v="48851"/>
    <n v="5781"/>
    <x v="1"/>
    <s v="Retail"/>
    <s v="Returning"/>
    <x v="0"/>
    <x v="1"/>
    <x v="1"/>
    <m/>
  </r>
  <r>
    <d v="2022-11-04T03:48:12"/>
    <x v="2"/>
    <x v="2"/>
    <s v="Service X"/>
    <n v="57098"/>
    <n v="56823"/>
    <n v="119586"/>
    <x v="0"/>
    <s v="Retail"/>
    <s v="New"/>
    <x v="0"/>
    <x v="1"/>
    <x v="1"/>
    <m/>
  </r>
  <r>
    <d v="2022-11-06T03:40:20"/>
    <x v="4"/>
    <x v="4"/>
    <s v="Product A"/>
    <n v="127413"/>
    <n v="25312"/>
    <n v="61700"/>
    <x v="3"/>
    <s v="Online"/>
    <s v="New"/>
    <x v="0"/>
    <x v="1"/>
    <x v="1"/>
    <m/>
  </r>
  <r>
    <d v="2022-11-08T03:32:28"/>
    <x v="0"/>
    <x v="1"/>
    <s v="Product A"/>
    <n v="5526"/>
    <n v="45108"/>
    <n v="32624"/>
    <x v="0"/>
    <s v="Online"/>
    <s v="New"/>
    <x v="0"/>
    <x v="1"/>
    <x v="1"/>
    <m/>
  </r>
  <r>
    <d v="2022-11-10T03:24:35"/>
    <x v="1"/>
    <x v="4"/>
    <s v="Service X"/>
    <n v="73760"/>
    <n v="68918"/>
    <n v="11823"/>
    <x v="2"/>
    <s v="Wholesale"/>
    <s v="Returning"/>
    <x v="0"/>
    <x v="1"/>
    <x v="1"/>
    <m/>
  </r>
  <r>
    <d v="2022-11-12T03:16:43"/>
    <x v="4"/>
    <x v="0"/>
    <s v="Service Y"/>
    <n v="52837"/>
    <n v="36171"/>
    <n v="23489"/>
    <x v="3"/>
    <s v="Wholesale"/>
    <s v="Returning"/>
    <x v="0"/>
    <x v="1"/>
    <x v="1"/>
    <m/>
  </r>
  <r>
    <d v="2022-11-14T03:08:51"/>
    <x v="2"/>
    <x v="6"/>
    <s v="Product C"/>
    <n v="16536"/>
    <n v="43779"/>
    <n v="44961"/>
    <x v="1"/>
    <s v="Online"/>
    <s v="New"/>
    <x v="0"/>
    <x v="1"/>
    <x v="1"/>
    <m/>
  </r>
  <r>
    <d v="2022-11-16T03:00:59"/>
    <x v="2"/>
    <x v="4"/>
    <s v="Product C"/>
    <n v="33541"/>
    <n v="70828"/>
    <n v="34118"/>
    <x v="3"/>
    <s v="Online"/>
    <s v="Returning"/>
    <x v="0"/>
    <x v="1"/>
    <x v="1"/>
    <m/>
  </r>
  <r>
    <d v="2022-11-18T02:53:07"/>
    <x v="4"/>
    <x v="2"/>
    <s v="Product C"/>
    <n v="84083"/>
    <n v="14411"/>
    <n v="105417"/>
    <x v="1"/>
    <s v="Online"/>
    <s v="Returning"/>
    <x v="0"/>
    <x v="1"/>
    <x v="1"/>
    <m/>
  </r>
  <r>
    <d v="2022-11-20T02:45:15"/>
    <x v="1"/>
    <x v="6"/>
    <s v="Service Y"/>
    <n v="39531"/>
    <n v="59009"/>
    <n v="86816"/>
    <x v="1"/>
    <s v="Retail"/>
    <s v="New"/>
    <x v="0"/>
    <x v="1"/>
    <x v="1"/>
    <m/>
  </r>
  <r>
    <d v="2022-11-22T02:37:23"/>
    <x v="4"/>
    <x v="3"/>
    <s v="Service Y"/>
    <n v="13712"/>
    <n v="17422"/>
    <n v="27263"/>
    <x v="0"/>
    <s v="Retail"/>
    <s v="New"/>
    <x v="0"/>
    <x v="1"/>
    <x v="1"/>
    <m/>
  </r>
  <r>
    <d v="2022-11-24T02:29:30"/>
    <x v="2"/>
    <x v="5"/>
    <s v="Service X"/>
    <n v="109101"/>
    <n v="44468"/>
    <n v="18565"/>
    <x v="0"/>
    <s v="Retail"/>
    <s v="Returning"/>
    <x v="0"/>
    <x v="1"/>
    <x v="1"/>
    <m/>
  </r>
  <r>
    <d v="2022-11-26T02:21:38"/>
    <x v="3"/>
    <x v="4"/>
    <s v="Product A"/>
    <n v="70455"/>
    <n v="34371"/>
    <n v="25354"/>
    <x v="0"/>
    <s v="Online"/>
    <s v="Returning"/>
    <x v="0"/>
    <x v="1"/>
    <x v="1"/>
    <m/>
  </r>
  <r>
    <d v="2022-11-28T02:13:46"/>
    <x v="0"/>
    <x v="2"/>
    <s v="Service X"/>
    <n v="79744"/>
    <n v="59022"/>
    <n v="47951"/>
    <x v="2"/>
    <s v="Wholesale"/>
    <s v="Returning"/>
    <x v="0"/>
    <x v="1"/>
    <x v="1"/>
    <m/>
  </r>
  <r>
    <d v="2022-11-30T02:05:54"/>
    <x v="2"/>
    <x v="6"/>
    <s v="Service X"/>
    <n v="134749"/>
    <n v="73229"/>
    <n v="96179"/>
    <x v="2"/>
    <s v="Online"/>
    <s v="New"/>
    <x v="0"/>
    <x v="1"/>
    <x v="1"/>
    <m/>
  </r>
  <r>
    <d v="2022-12-02T01:58:02"/>
    <x v="4"/>
    <x v="2"/>
    <s v="Service Y"/>
    <n v="10109"/>
    <n v="53196"/>
    <n v="28648"/>
    <x v="0"/>
    <s v="Retail"/>
    <s v="New"/>
    <x v="0"/>
    <x v="1"/>
    <x v="1"/>
    <m/>
  </r>
  <r>
    <d v="2022-12-04T01:50:10"/>
    <x v="0"/>
    <x v="3"/>
    <s v="Product C"/>
    <n v="54268"/>
    <n v="82354"/>
    <n v="55729"/>
    <x v="2"/>
    <s v="Retail"/>
    <s v="Returning"/>
    <x v="0"/>
    <x v="1"/>
    <x v="1"/>
    <m/>
  </r>
  <r>
    <d v="2022-12-06T01:42:18"/>
    <x v="4"/>
    <x v="0"/>
    <s v="Product B"/>
    <n v="59615"/>
    <n v="98774"/>
    <n v="46971"/>
    <x v="3"/>
    <s v="Online"/>
    <s v="New"/>
    <x v="0"/>
    <x v="1"/>
    <x v="1"/>
    <m/>
  </r>
  <r>
    <d v="2022-12-08T01:34:26"/>
    <x v="4"/>
    <x v="2"/>
    <s v="Product A"/>
    <n v="87503"/>
    <n v="98410"/>
    <n v="23658"/>
    <x v="3"/>
    <s v="Online"/>
    <s v="New"/>
    <x v="0"/>
    <x v="1"/>
    <x v="1"/>
    <m/>
  </r>
  <r>
    <d v="2022-12-10T01:26:33"/>
    <x v="3"/>
    <x v="6"/>
    <s v="Service Y"/>
    <n v="90708"/>
    <n v="28715"/>
    <n v="26253"/>
    <x v="2"/>
    <s v="Retail"/>
    <s v="Returning"/>
    <x v="0"/>
    <x v="1"/>
    <x v="1"/>
    <m/>
  </r>
  <r>
    <d v="2022-12-12T01:18:41"/>
    <x v="0"/>
    <x v="2"/>
    <s v="Product C"/>
    <n v="107471"/>
    <n v="29605"/>
    <n v="69166"/>
    <x v="2"/>
    <s v="Retail"/>
    <s v="Returning"/>
    <x v="0"/>
    <x v="1"/>
    <x v="1"/>
    <m/>
  </r>
  <r>
    <d v="2022-12-14T01:10:49"/>
    <x v="0"/>
    <x v="2"/>
    <s v="Product B"/>
    <n v="88309"/>
    <n v="33174"/>
    <n v="53563"/>
    <x v="3"/>
    <s v="Retail"/>
    <s v="New"/>
    <x v="0"/>
    <x v="1"/>
    <x v="1"/>
    <m/>
  </r>
  <r>
    <d v="2022-12-16T01:02:57"/>
    <x v="3"/>
    <x v="2"/>
    <s v="Product B"/>
    <n v="131446"/>
    <n v="11956"/>
    <n v="31390"/>
    <x v="1"/>
    <s v="Online"/>
    <s v="New"/>
    <x v="0"/>
    <x v="1"/>
    <x v="1"/>
    <m/>
  </r>
  <r>
    <d v="2022-12-18T00:55:05"/>
    <x v="2"/>
    <x v="1"/>
    <s v="Service Y"/>
    <n v="111661"/>
    <n v="78373"/>
    <n v="93664"/>
    <x v="3"/>
    <s v="Retail"/>
    <s v="Returning"/>
    <x v="0"/>
    <x v="1"/>
    <x v="1"/>
    <m/>
  </r>
  <r>
    <d v="2022-12-20T00:47:13"/>
    <x v="4"/>
    <x v="1"/>
    <s v="Product D"/>
    <n v="11154"/>
    <n v="71252"/>
    <n v="56578"/>
    <x v="3"/>
    <s v="Retail"/>
    <s v="New"/>
    <x v="0"/>
    <x v="1"/>
    <x v="1"/>
    <m/>
  </r>
  <r>
    <d v="2022-12-22T00:39:21"/>
    <x v="1"/>
    <x v="0"/>
    <s v="Product A"/>
    <n v="69288"/>
    <n v="63949"/>
    <n v="84025"/>
    <x v="2"/>
    <s v="Wholesale"/>
    <s v="New"/>
    <x v="0"/>
    <x v="1"/>
    <x v="1"/>
    <m/>
  </r>
  <r>
    <d v="2022-12-24T00:31:29"/>
    <x v="4"/>
    <x v="4"/>
    <s v="Product B"/>
    <n v="56195"/>
    <n v="64646"/>
    <n v="108850"/>
    <x v="3"/>
    <s v="Online"/>
    <s v="Returning"/>
    <x v="0"/>
    <x v="1"/>
    <x v="1"/>
    <m/>
  </r>
  <r>
    <d v="2022-12-26T00:23:36"/>
    <x v="4"/>
    <x v="2"/>
    <s v="Service Y"/>
    <n v="25581"/>
    <n v="72017"/>
    <n v="37658"/>
    <x v="2"/>
    <s v="Wholesale"/>
    <s v="Returning"/>
    <x v="0"/>
    <x v="1"/>
    <x v="1"/>
    <m/>
  </r>
  <r>
    <d v="2022-12-28T00:15:44"/>
    <x v="2"/>
    <x v="3"/>
    <s v="Service Y"/>
    <n v="35087"/>
    <n v="65037"/>
    <n v="11852"/>
    <x v="2"/>
    <s v="Wholesale"/>
    <s v="New"/>
    <x v="0"/>
    <x v="1"/>
    <x v="1"/>
    <m/>
  </r>
  <r>
    <d v="2022-12-30T00:07:52"/>
    <x v="4"/>
    <x v="4"/>
    <s v="Product C"/>
    <n v="74298"/>
    <n v="91818"/>
    <n v="99986"/>
    <x v="0"/>
    <s v="Retail"/>
    <s v="New"/>
    <x v="0"/>
    <x v="1"/>
    <x v="1"/>
    <m/>
  </r>
  <r>
    <d v="2023-01-01T00:00:00"/>
    <x v="3"/>
    <x v="3"/>
    <s v="Product D"/>
    <n v="51167"/>
    <n v="8548"/>
    <n v="7551"/>
    <x v="3"/>
    <s v="Online"/>
    <s v="New"/>
    <x v="1"/>
    <x v="1"/>
    <x v="1"/>
    <m/>
  </r>
  <r>
    <d v="2023-01-02T23:52:08"/>
    <x v="3"/>
    <x v="4"/>
    <s v="Product A"/>
    <n v="44499"/>
    <n v="75294"/>
    <n v="76947"/>
    <x v="1"/>
    <s v="Retail"/>
    <s v="Returning"/>
    <x v="1"/>
    <x v="1"/>
    <x v="1"/>
    <m/>
  </r>
  <r>
    <d v="2023-01-04T23:44:16"/>
    <x v="0"/>
    <x v="0"/>
    <s v="Service X"/>
    <n v="130816"/>
    <n v="25177"/>
    <n v="66001"/>
    <x v="0"/>
    <s v="Online"/>
    <s v="New"/>
    <x v="1"/>
    <x v="1"/>
    <x v="1"/>
    <m/>
  </r>
  <r>
    <d v="2023-01-06T23:36:24"/>
    <x v="1"/>
    <x v="2"/>
    <s v="Product C"/>
    <n v="101347"/>
    <n v="26022"/>
    <n v="54159"/>
    <x v="2"/>
    <s v="Wholesale"/>
    <s v="New"/>
    <x v="1"/>
    <x v="1"/>
    <x v="1"/>
    <m/>
  </r>
  <r>
    <d v="2023-01-08T23:28:31"/>
    <x v="4"/>
    <x v="2"/>
    <s v="Product B"/>
    <n v="53787"/>
    <n v="7542"/>
    <n v="56707"/>
    <x v="2"/>
    <s v="Online"/>
    <s v="Returning"/>
    <x v="1"/>
    <x v="1"/>
    <x v="1"/>
    <m/>
  </r>
  <r>
    <d v="2023-01-10T23:20:39"/>
    <x v="4"/>
    <x v="5"/>
    <s v="Product B"/>
    <n v="40488"/>
    <n v="93012"/>
    <n v="38243"/>
    <x v="1"/>
    <s v="Retail"/>
    <s v="Returning"/>
    <x v="1"/>
    <x v="1"/>
    <x v="1"/>
    <m/>
  </r>
  <r>
    <d v="2023-01-12T23:12:47"/>
    <x v="2"/>
    <x v="3"/>
    <s v="Product C"/>
    <n v="79441"/>
    <n v="98320"/>
    <n v="26800"/>
    <x v="2"/>
    <s v="Retail"/>
    <s v="New"/>
    <x v="1"/>
    <x v="1"/>
    <x v="1"/>
    <m/>
  </r>
  <r>
    <d v="2023-01-14T23:04:55"/>
    <x v="3"/>
    <x v="4"/>
    <s v="Service Y"/>
    <n v="27431"/>
    <n v="62428"/>
    <n v="80939"/>
    <x v="3"/>
    <s v="Retail"/>
    <s v="Returning"/>
    <x v="1"/>
    <x v="1"/>
    <x v="1"/>
    <m/>
  </r>
  <r>
    <d v="2023-01-16T22:57:03"/>
    <x v="1"/>
    <x v="4"/>
    <s v="Product B"/>
    <n v="66681"/>
    <n v="24740"/>
    <n v="62828"/>
    <x v="0"/>
    <s v="Online"/>
    <s v="Returning"/>
    <x v="1"/>
    <x v="1"/>
    <x v="1"/>
    <m/>
  </r>
  <r>
    <d v="2023-01-18T22:49:11"/>
    <x v="0"/>
    <x v="1"/>
    <s v="Product D"/>
    <n v="127720"/>
    <n v="61353"/>
    <n v="12239"/>
    <x v="2"/>
    <s v="Wholesale"/>
    <s v="New"/>
    <x v="1"/>
    <x v="1"/>
    <x v="1"/>
    <m/>
  </r>
  <r>
    <d v="2023-01-20T22:41:19"/>
    <x v="3"/>
    <x v="5"/>
    <s v="Product A"/>
    <n v="54153"/>
    <n v="92353"/>
    <n v="11710"/>
    <x v="2"/>
    <s v="Wholesale"/>
    <s v="Returning"/>
    <x v="1"/>
    <x v="1"/>
    <x v="1"/>
    <m/>
  </r>
  <r>
    <d v="2023-01-22T22:33:27"/>
    <x v="0"/>
    <x v="6"/>
    <s v="Product D"/>
    <n v="11368"/>
    <n v="58532"/>
    <n v="26384"/>
    <x v="1"/>
    <s v="Online"/>
    <s v="Returning"/>
    <x v="1"/>
    <x v="1"/>
    <x v="1"/>
    <m/>
  </r>
  <r>
    <d v="2023-01-24T22:25:34"/>
    <x v="2"/>
    <x v="6"/>
    <s v="Product B"/>
    <n v="117360"/>
    <n v="18052"/>
    <n v="26038"/>
    <x v="3"/>
    <s v="Retail"/>
    <s v="New"/>
    <x v="1"/>
    <x v="1"/>
    <x v="1"/>
    <m/>
  </r>
  <r>
    <d v="2023-01-26T22:17:42"/>
    <x v="2"/>
    <x v="1"/>
    <s v="Service X"/>
    <n v="117755"/>
    <n v="49076"/>
    <n v="45846"/>
    <x v="2"/>
    <s v="Wholesale"/>
    <s v="Returning"/>
    <x v="1"/>
    <x v="1"/>
    <x v="1"/>
    <m/>
  </r>
  <r>
    <d v="2023-01-28T22:09:50"/>
    <x v="4"/>
    <x v="1"/>
    <s v="Product A"/>
    <n v="61985"/>
    <n v="55420"/>
    <n v="92983"/>
    <x v="1"/>
    <s v="Retail"/>
    <s v="New"/>
    <x v="1"/>
    <x v="1"/>
    <x v="1"/>
    <m/>
  </r>
  <r>
    <d v="2023-01-30T22:01:58"/>
    <x v="1"/>
    <x v="1"/>
    <s v="Product A"/>
    <n v="55069"/>
    <n v="2671"/>
    <n v="72821"/>
    <x v="2"/>
    <s v="Online"/>
    <s v="New"/>
    <x v="1"/>
    <x v="1"/>
    <x v="1"/>
    <m/>
  </r>
  <r>
    <d v="2023-02-01T21:54:06"/>
    <x v="0"/>
    <x v="3"/>
    <s v="Product C"/>
    <n v="57326"/>
    <n v="2163"/>
    <n v="42991"/>
    <x v="1"/>
    <s v="Retail"/>
    <s v="Returning"/>
    <x v="1"/>
    <x v="1"/>
    <x v="1"/>
    <m/>
  </r>
  <r>
    <d v="2023-02-03T21:46:14"/>
    <x v="3"/>
    <x v="3"/>
    <s v="Product C"/>
    <n v="113737"/>
    <n v="43424"/>
    <n v="84057"/>
    <x v="1"/>
    <s v="Wholesale"/>
    <s v="Returning"/>
    <x v="1"/>
    <x v="1"/>
    <x v="1"/>
    <m/>
  </r>
  <r>
    <d v="2023-02-05T21:38:22"/>
    <x v="2"/>
    <x v="0"/>
    <s v="Service X"/>
    <n v="55861"/>
    <n v="55744"/>
    <n v="118193"/>
    <x v="3"/>
    <s v="Wholesale"/>
    <s v="Returning"/>
    <x v="1"/>
    <x v="1"/>
    <x v="1"/>
    <m/>
  </r>
  <r>
    <d v="2023-02-07T21:30:30"/>
    <x v="4"/>
    <x v="0"/>
    <s v="Service Y"/>
    <n v="80897"/>
    <n v="72331"/>
    <n v="11971"/>
    <x v="2"/>
    <s v="Retail"/>
    <s v="New"/>
    <x v="1"/>
    <x v="1"/>
    <x v="1"/>
    <m/>
  </r>
  <r>
    <d v="2023-02-09T21:22:37"/>
    <x v="4"/>
    <x v="1"/>
    <s v="Product A"/>
    <n v="132118"/>
    <n v="12634"/>
    <n v="34139"/>
    <x v="3"/>
    <s v="Online"/>
    <s v="Returning"/>
    <x v="1"/>
    <x v="1"/>
    <x v="1"/>
    <m/>
  </r>
  <r>
    <d v="2023-02-11T21:14:45"/>
    <x v="0"/>
    <x v="5"/>
    <s v="Service X"/>
    <n v="73577"/>
    <n v="6798"/>
    <n v="90445"/>
    <x v="1"/>
    <s v="Retail"/>
    <s v="New"/>
    <x v="1"/>
    <x v="1"/>
    <x v="1"/>
    <m/>
  </r>
  <r>
    <d v="2023-02-13T21:06:53"/>
    <x v="2"/>
    <x v="4"/>
    <s v="Product C"/>
    <n v="14078"/>
    <n v="24420"/>
    <n v="82067"/>
    <x v="0"/>
    <s v="Online"/>
    <s v="Returning"/>
    <x v="1"/>
    <x v="1"/>
    <x v="1"/>
    <m/>
  </r>
  <r>
    <d v="2023-02-15T20:59:01"/>
    <x v="1"/>
    <x v="3"/>
    <s v="Product C"/>
    <n v="67768"/>
    <n v="31300"/>
    <n v="85257"/>
    <x v="2"/>
    <s v="Retail"/>
    <s v="Returning"/>
    <x v="1"/>
    <x v="1"/>
    <x v="1"/>
    <m/>
  </r>
  <r>
    <d v="2023-02-17T20:51:09"/>
    <x v="2"/>
    <x v="5"/>
    <s v="Product A"/>
    <n v="56047"/>
    <n v="91881"/>
    <n v="89742"/>
    <x v="0"/>
    <s v="Wholesale"/>
    <s v="Returning"/>
    <x v="1"/>
    <x v="1"/>
    <x v="1"/>
    <m/>
  </r>
  <r>
    <d v="2023-02-19T20:43:17"/>
    <x v="0"/>
    <x v="2"/>
    <s v="Product D"/>
    <n v="76626"/>
    <n v="12749"/>
    <n v="42711"/>
    <x v="2"/>
    <s v="Online"/>
    <s v="New"/>
    <x v="1"/>
    <x v="1"/>
    <x v="1"/>
    <m/>
  </r>
  <r>
    <d v="2023-02-21T20:35:25"/>
    <x v="0"/>
    <x v="3"/>
    <s v="Product B"/>
    <n v="62660"/>
    <n v="27121"/>
    <n v="11530"/>
    <x v="3"/>
    <s v="Online"/>
    <s v="Returning"/>
    <x v="1"/>
    <x v="1"/>
    <x v="1"/>
    <m/>
  </r>
  <r>
    <d v="2023-02-23T20:27:32"/>
    <x v="2"/>
    <x v="3"/>
    <s v="Product C"/>
    <n v="137997"/>
    <n v="39487"/>
    <n v="16116"/>
    <x v="3"/>
    <s v="Online"/>
    <s v="Returning"/>
    <x v="1"/>
    <x v="1"/>
    <x v="1"/>
    <m/>
  </r>
  <r>
    <d v="2023-02-25T20:19:40"/>
    <x v="0"/>
    <x v="0"/>
    <s v="Service Y"/>
    <n v="122832"/>
    <n v="95947"/>
    <n v="70794"/>
    <x v="3"/>
    <s v="Wholesale"/>
    <s v="New"/>
    <x v="1"/>
    <x v="1"/>
    <x v="1"/>
    <m/>
  </r>
  <r>
    <d v="2023-02-27T20:11:48"/>
    <x v="2"/>
    <x v="4"/>
    <s v="Service Y"/>
    <n v="135406"/>
    <n v="35361"/>
    <n v="5282"/>
    <x v="3"/>
    <s v="Retail"/>
    <s v="New"/>
    <x v="1"/>
    <x v="1"/>
    <x v="1"/>
    <m/>
  </r>
  <r>
    <d v="2023-03-01T20:03:56"/>
    <x v="3"/>
    <x v="4"/>
    <s v="Product C"/>
    <n v="130150"/>
    <n v="23223"/>
    <n v="84473"/>
    <x v="3"/>
    <s v="Wholesale"/>
    <s v="Returning"/>
    <x v="1"/>
    <x v="1"/>
    <x v="1"/>
    <m/>
  </r>
  <r>
    <d v="2023-03-03T19:56:04"/>
    <x v="2"/>
    <x v="6"/>
    <s v="Product D"/>
    <n v="38320"/>
    <n v="74930"/>
    <n v="6898"/>
    <x v="0"/>
    <s v="Online"/>
    <s v="Returning"/>
    <x v="1"/>
    <x v="1"/>
    <x v="1"/>
    <m/>
  </r>
  <r>
    <d v="2023-03-05T19:48:12"/>
    <x v="2"/>
    <x v="6"/>
    <s v="Product D"/>
    <n v="69881"/>
    <n v="16056"/>
    <n v="9135"/>
    <x v="3"/>
    <s v="Retail"/>
    <s v="Returning"/>
    <x v="1"/>
    <x v="1"/>
    <x v="1"/>
    <m/>
  </r>
  <r>
    <d v="2023-03-07T19:40:20"/>
    <x v="0"/>
    <x v="6"/>
    <s v="Service X"/>
    <n v="95827"/>
    <n v="30380"/>
    <n v="11629"/>
    <x v="1"/>
    <s v="Wholesale"/>
    <s v="New"/>
    <x v="1"/>
    <x v="1"/>
    <x v="1"/>
    <m/>
  </r>
  <r>
    <d v="2023-03-09T19:32:28"/>
    <x v="0"/>
    <x v="6"/>
    <s v="Service Y"/>
    <n v="107215"/>
    <n v="28035"/>
    <n v="114472"/>
    <x v="1"/>
    <s v="Online"/>
    <s v="New"/>
    <x v="1"/>
    <x v="1"/>
    <x v="1"/>
    <m/>
  </r>
  <r>
    <d v="2023-03-11T19:24:35"/>
    <x v="4"/>
    <x v="2"/>
    <s v="Service X"/>
    <n v="139461"/>
    <n v="32620"/>
    <n v="90120"/>
    <x v="0"/>
    <s v="Online"/>
    <s v="New"/>
    <x v="1"/>
    <x v="1"/>
    <x v="1"/>
    <m/>
  </r>
  <r>
    <d v="2023-03-13T19:16:43"/>
    <x v="4"/>
    <x v="2"/>
    <s v="Service Y"/>
    <n v="149701"/>
    <n v="21877"/>
    <n v="94087"/>
    <x v="2"/>
    <s v="Wholesale"/>
    <s v="New"/>
    <x v="1"/>
    <x v="1"/>
    <x v="1"/>
    <m/>
  </r>
  <r>
    <d v="2023-03-15T19:08:51"/>
    <x v="3"/>
    <x v="3"/>
    <s v="Product B"/>
    <n v="66550"/>
    <n v="57316"/>
    <n v="70031"/>
    <x v="1"/>
    <s v="Wholesale"/>
    <s v="Returning"/>
    <x v="1"/>
    <x v="1"/>
    <x v="1"/>
    <m/>
  </r>
  <r>
    <d v="2023-03-17T19:00:59"/>
    <x v="4"/>
    <x v="1"/>
    <s v="Product B"/>
    <n v="29826"/>
    <n v="66041"/>
    <n v="38380"/>
    <x v="2"/>
    <s v="Wholesale"/>
    <s v="New"/>
    <x v="1"/>
    <x v="1"/>
    <x v="1"/>
    <m/>
  </r>
  <r>
    <d v="2023-03-19T18:53:07"/>
    <x v="2"/>
    <x v="0"/>
    <s v="Product A"/>
    <n v="105734"/>
    <n v="55352"/>
    <n v="117507"/>
    <x v="0"/>
    <s v="Online"/>
    <s v="New"/>
    <x v="1"/>
    <x v="1"/>
    <x v="1"/>
    <m/>
  </r>
  <r>
    <d v="2023-03-21T18:45:15"/>
    <x v="0"/>
    <x v="0"/>
    <s v="Service X"/>
    <n v="103511"/>
    <n v="32911"/>
    <n v="22071"/>
    <x v="2"/>
    <s v="Wholesale"/>
    <s v="New"/>
    <x v="1"/>
    <x v="1"/>
    <x v="1"/>
    <m/>
  </r>
  <r>
    <d v="2023-03-23T18:37:23"/>
    <x v="4"/>
    <x v="6"/>
    <s v="Product C"/>
    <n v="16653"/>
    <n v="34784"/>
    <n v="25074"/>
    <x v="2"/>
    <s v="Online"/>
    <s v="Returning"/>
    <x v="1"/>
    <x v="1"/>
    <x v="1"/>
    <m/>
  </r>
  <r>
    <d v="2023-03-25T18:29:30"/>
    <x v="4"/>
    <x v="3"/>
    <s v="Service X"/>
    <n v="86941"/>
    <n v="5191"/>
    <n v="95724"/>
    <x v="2"/>
    <s v="Wholesale"/>
    <s v="Returning"/>
    <x v="1"/>
    <x v="1"/>
    <x v="1"/>
    <m/>
  </r>
  <r>
    <d v="2023-03-27T18:21:38"/>
    <x v="3"/>
    <x v="5"/>
    <s v="Product C"/>
    <n v="38662"/>
    <n v="35160"/>
    <n v="72843"/>
    <x v="2"/>
    <s v="Online"/>
    <s v="New"/>
    <x v="1"/>
    <x v="1"/>
    <x v="1"/>
    <m/>
  </r>
  <r>
    <d v="2023-03-29T18:13:46"/>
    <x v="3"/>
    <x v="1"/>
    <s v="Product D"/>
    <n v="103818"/>
    <n v="92536"/>
    <n v="44901"/>
    <x v="0"/>
    <s v="Online"/>
    <s v="New"/>
    <x v="1"/>
    <x v="1"/>
    <x v="1"/>
    <m/>
  </r>
  <r>
    <d v="2023-03-31T18:05:54"/>
    <x v="2"/>
    <x v="3"/>
    <s v="Service X"/>
    <n v="100081"/>
    <n v="66641"/>
    <n v="16205"/>
    <x v="1"/>
    <s v="Retail"/>
    <s v="Returning"/>
    <x v="1"/>
    <x v="1"/>
    <x v="1"/>
    <m/>
  </r>
  <r>
    <d v="2023-04-02T17:58:02"/>
    <x v="0"/>
    <x v="1"/>
    <s v="Product D"/>
    <n v="41877"/>
    <n v="51723"/>
    <n v="60661"/>
    <x v="3"/>
    <s v="Wholesale"/>
    <s v="Returning"/>
    <x v="1"/>
    <x v="1"/>
    <x v="1"/>
    <m/>
  </r>
  <r>
    <d v="2023-04-04T17:50:10"/>
    <x v="3"/>
    <x v="1"/>
    <s v="Product B"/>
    <n v="116562"/>
    <n v="5631"/>
    <n v="10906"/>
    <x v="2"/>
    <s v="Wholesale"/>
    <s v="Returning"/>
    <x v="1"/>
    <x v="1"/>
    <x v="1"/>
    <m/>
  </r>
  <r>
    <d v="2023-04-06T17:42:18"/>
    <x v="4"/>
    <x v="1"/>
    <s v="Product B"/>
    <n v="77715"/>
    <n v="8172"/>
    <n v="7591"/>
    <x v="1"/>
    <s v="Online"/>
    <s v="Returning"/>
    <x v="1"/>
    <x v="1"/>
    <x v="1"/>
    <m/>
  </r>
  <r>
    <d v="2023-04-08T17:34:26"/>
    <x v="0"/>
    <x v="3"/>
    <s v="Product A"/>
    <n v="146398"/>
    <n v="44080"/>
    <n v="67987"/>
    <x v="1"/>
    <s v="Online"/>
    <s v="Returning"/>
    <x v="1"/>
    <x v="1"/>
    <x v="1"/>
    <m/>
  </r>
  <r>
    <d v="2023-04-10T17:26:33"/>
    <x v="0"/>
    <x v="6"/>
    <s v="Service X"/>
    <n v="115091"/>
    <n v="91097"/>
    <n v="68370"/>
    <x v="0"/>
    <s v="Online"/>
    <s v="Returning"/>
    <x v="1"/>
    <x v="1"/>
    <x v="1"/>
    <m/>
  </r>
  <r>
    <d v="2023-04-12T17:18:41"/>
    <x v="4"/>
    <x v="0"/>
    <s v="Product D"/>
    <n v="137632"/>
    <n v="92353"/>
    <n v="85685"/>
    <x v="1"/>
    <s v="Retail"/>
    <s v="Returning"/>
    <x v="1"/>
    <x v="1"/>
    <x v="1"/>
    <m/>
  </r>
  <r>
    <d v="2023-04-14T17:10:49"/>
    <x v="3"/>
    <x v="0"/>
    <s v="Product C"/>
    <n v="84148"/>
    <n v="22281"/>
    <n v="115454"/>
    <x v="0"/>
    <s v="Retail"/>
    <s v="Returning"/>
    <x v="1"/>
    <x v="1"/>
    <x v="1"/>
    <m/>
  </r>
  <r>
    <d v="2023-04-16T17:02:57"/>
    <x v="4"/>
    <x v="6"/>
    <s v="Product B"/>
    <n v="88186"/>
    <n v="30671"/>
    <n v="110487"/>
    <x v="2"/>
    <s v="Online"/>
    <s v="New"/>
    <x v="1"/>
    <x v="1"/>
    <x v="1"/>
    <m/>
  </r>
  <r>
    <d v="2023-04-18T16:55:05"/>
    <x v="0"/>
    <x v="1"/>
    <s v="Product B"/>
    <n v="128629"/>
    <n v="53431"/>
    <n v="59400"/>
    <x v="2"/>
    <s v="Wholesale"/>
    <s v="New"/>
    <x v="1"/>
    <x v="1"/>
    <x v="1"/>
    <m/>
  </r>
  <r>
    <d v="2023-04-20T16:47:13"/>
    <x v="1"/>
    <x v="5"/>
    <s v="Product C"/>
    <n v="75316"/>
    <n v="92900"/>
    <n v="30150"/>
    <x v="3"/>
    <s v="Wholesale"/>
    <s v="New"/>
    <x v="1"/>
    <x v="1"/>
    <x v="1"/>
    <m/>
  </r>
  <r>
    <d v="2023-04-22T16:39:21"/>
    <x v="1"/>
    <x v="4"/>
    <s v="Product D"/>
    <n v="33380"/>
    <n v="94961"/>
    <n v="36852"/>
    <x v="3"/>
    <s v="Retail"/>
    <s v="New"/>
    <x v="1"/>
    <x v="1"/>
    <x v="1"/>
    <m/>
  </r>
  <r>
    <d v="2023-04-24T16:31:29"/>
    <x v="2"/>
    <x v="3"/>
    <s v="Product D"/>
    <n v="115198"/>
    <n v="30602"/>
    <n v="47870"/>
    <x v="3"/>
    <s v="Retail"/>
    <s v="New"/>
    <x v="1"/>
    <x v="1"/>
    <x v="1"/>
    <m/>
  </r>
  <r>
    <d v="2023-04-26T16:23:36"/>
    <x v="4"/>
    <x v="4"/>
    <s v="Service X"/>
    <n v="7356"/>
    <n v="90789"/>
    <n v="57756"/>
    <x v="1"/>
    <s v="Online"/>
    <s v="New"/>
    <x v="1"/>
    <x v="1"/>
    <x v="1"/>
    <m/>
  </r>
  <r>
    <d v="2023-04-28T16:15:44"/>
    <x v="4"/>
    <x v="6"/>
    <s v="Service X"/>
    <n v="75326"/>
    <n v="53399"/>
    <n v="61481"/>
    <x v="2"/>
    <s v="Wholesale"/>
    <s v="Returning"/>
    <x v="1"/>
    <x v="1"/>
    <x v="1"/>
    <m/>
  </r>
  <r>
    <d v="2023-04-30T16:07:52"/>
    <x v="2"/>
    <x v="5"/>
    <s v="Service Y"/>
    <n v="97447"/>
    <n v="25472"/>
    <n v="6283"/>
    <x v="0"/>
    <s v="Online"/>
    <s v="Returning"/>
    <x v="1"/>
    <x v="1"/>
    <x v="1"/>
    <m/>
  </r>
  <r>
    <d v="2023-05-02T16:00:00"/>
    <x v="2"/>
    <x v="3"/>
    <s v="Service Y"/>
    <n v="119994"/>
    <n v="51230"/>
    <n v="38691"/>
    <x v="3"/>
    <s v="Retail"/>
    <s v="New"/>
    <x v="1"/>
    <x v="1"/>
    <x v="1"/>
    <m/>
  </r>
  <r>
    <d v="2023-05-04T15:52:08"/>
    <x v="2"/>
    <x v="6"/>
    <s v="Product A"/>
    <n v="25049"/>
    <n v="75616"/>
    <n v="6125"/>
    <x v="0"/>
    <s v="Wholesale"/>
    <s v="New"/>
    <x v="1"/>
    <x v="1"/>
    <x v="1"/>
    <m/>
  </r>
  <r>
    <d v="2023-05-06T15:44:16"/>
    <x v="0"/>
    <x v="1"/>
    <s v="Product B"/>
    <n v="110361"/>
    <n v="9099"/>
    <n v="72065"/>
    <x v="0"/>
    <s v="Wholesale"/>
    <s v="Returning"/>
    <x v="1"/>
    <x v="1"/>
    <x v="1"/>
    <m/>
  </r>
  <r>
    <d v="2023-05-08T15:36:24"/>
    <x v="4"/>
    <x v="0"/>
    <s v="Service X"/>
    <n v="21082"/>
    <n v="27431"/>
    <n v="31170"/>
    <x v="3"/>
    <s v="Retail"/>
    <s v="Returning"/>
    <x v="1"/>
    <x v="1"/>
    <x v="1"/>
    <m/>
  </r>
  <r>
    <d v="2023-05-10T15:28:31"/>
    <x v="0"/>
    <x v="4"/>
    <s v="Product D"/>
    <n v="5661"/>
    <n v="58492"/>
    <n v="13438"/>
    <x v="2"/>
    <s v="Online"/>
    <s v="Returning"/>
    <x v="1"/>
    <x v="1"/>
    <x v="1"/>
    <m/>
  </r>
  <r>
    <d v="2023-05-12T15:20:39"/>
    <x v="2"/>
    <x v="2"/>
    <s v="Product C"/>
    <n v="7920"/>
    <n v="98722"/>
    <n v="25095"/>
    <x v="3"/>
    <s v="Online"/>
    <s v="New"/>
    <x v="1"/>
    <x v="1"/>
    <x v="1"/>
    <m/>
  </r>
  <r>
    <d v="2023-05-14T15:12:47"/>
    <x v="4"/>
    <x v="2"/>
    <s v="Product D"/>
    <n v="84561"/>
    <n v="49684"/>
    <n v="21154"/>
    <x v="0"/>
    <s v="Wholesale"/>
    <s v="Returning"/>
    <x v="1"/>
    <x v="1"/>
    <x v="1"/>
    <m/>
  </r>
  <r>
    <d v="2023-05-16T15:04:55"/>
    <x v="0"/>
    <x v="5"/>
    <s v="Product B"/>
    <n v="13946"/>
    <n v="32111"/>
    <n v="13004"/>
    <x v="3"/>
    <s v="Retail"/>
    <s v="New"/>
    <x v="1"/>
    <x v="1"/>
    <x v="1"/>
    <m/>
  </r>
  <r>
    <d v="2023-05-18T14:57:03"/>
    <x v="0"/>
    <x v="1"/>
    <s v="Service Y"/>
    <n v="21309"/>
    <n v="65936"/>
    <n v="14752"/>
    <x v="0"/>
    <s v="Wholesale"/>
    <s v="New"/>
    <x v="1"/>
    <x v="1"/>
    <x v="1"/>
    <m/>
  </r>
  <r>
    <d v="2023-05-20T14:49:11"/>
    <x v="2"/>
    <x v="4"/>
    <s v="Product D"/>
    <n v="60230"/>
    <n v="24614"/>
    <n v="60426"/>
    <x v="0"/>
    <s v="Retail"/>
    <s v="Returning"/>
    <x v="1"/>
    <x v="1"/>
    <x v="1"/>
    <m/>
  </r>
  <r>
    <d v="2023-05-22T14:41:19"/>
    <x v="4"/>
    <x v="1"/>
    <s v="Product A"/>
    <n v="116822"/>
    <n v="94260"/>
    <n v="113896"/>
    <x v="3"/>
    <s v="Online"/>
    <s v="Returning"/>
    <x v="1"/>
    <x v="1"/>
    <x v="1"/>
    <m/>
  </r>
  <r>
    <d v="2023-05-24T14:33:27"/>
    <x v="2"/>
    <x v="4"/>
    <s v="Product B"/>
    <n v="117340"/>
    <n v="43991"/>
    <n v="31819"/>
    <x v="1"/>
    <s v="Retail"/>
    <s v="New"/>
    <x v="1"/>
    <x v="1"/>
    <x v="1"/>
    <m/>
  </r>
  <r>
    <d v="2023-05-26T14:25:34"/>
    <x v="4"/>
    <x v="5"/>
    <s v="Service Y"/>
    <n v="64321"/>
    <n v="72476"/>
    <n v="107168"/>
    <x v="3"/>
    <s v="Online"/>
    <s v="Returning"/>
    <x v="1"/>
    <x v="1"/>
    <x v="1"/>
    <m/>
  </r>
  <r>
    <d v="2023-05-28T14:17:42"/>
    <x v="1"/>
    <x v="5"/>
    <s v="Product C"/>
    <n v="137028"/>
    <n v="62920"/>
    <n v="97051"/>
    <x v="1"/>
    <s v="Retail"/>
    <s v="Returning"/>
    <x v="1"/>
    <x v="1"/>
    <x v="1"/>
    <m/>
  </r>
  <r>
    <d v="2023-05-30T14:09:50"/>
    <x v="3"/>
    <x v="2"/>
    <s v="Service Y"/>
    <n v="79131"/>
    <n v="96294"/>
    <n v="29217"/>
    <x v="0"/>
    <s v="Wholesale"/>
    <s v="New"/>
    <x v="1"/>
    <x v="1"/>
    <x v="1"/>
    <m/>
  </r>
  <r>
    <d v="2023-06-01T14:01:58"/>
    <x v="3"/>
    <x v="1"/>
    <s v="Product A"/>
    <n v="30963"/>
    <n v="65530"/>
    <n v="93708"/>
    <x v="0"/>
    <s v="Online"/>
    <s v="Returning"/>
    <x v="1"/>
    <x v="1"/>
    <x v="1"/>
    <m/>
  </r>
  <r>
    <d v="2023-06-03T13:54:06"/>
    <x v="3"/>
    <x v="3"/>
    <s v="Product B"/>
    <n v="106757"/>
    <n v="38224"/>
    <n v="37994"/>
    <x v="1"/>
    <s v="Wholesale"/>
    <s v="New"/>
    <x v="1"/>
    <x v="1"/>
    <x v="1"/>
    <m/>
  </r>
  <r>
    <d v="2023-06-05T13:46:14"/>
    <x v="2"/>
    <x v="2"/>
    <s v="Product C"/>
    <n v="104259"/>
    <n v="9788"/>
    <n v="20036"/>
    <x v="0"/>
    <s v="Wholesale"/>
    <s v="New"/>
    <x v="1"/>
    <x v="1"/>
    <x v="1"/>
    <m/>
  </r>
  <r>
    <d v="2023-06-07T13:38:22"/>
    <x v="1"/>
    <x v="1"/>
    <s v="Product A"/>
    <n v="44063"/>
    <n v="30082"/>
    <n v="82275"/>
    <x v="1"/>
    <s v="Online"/>
    <s v="Returning"/>
    <x v="1"/>
    <x v="1"/>
    <x v="1"/>
    <m/>
  </r>
  <r>
    <d v="2023-06-09T13:30:30"/>
    <x v="4"/>
    <x v="2"/>
    <s v="Service Y"/>
    <n v="119225"/>
    <n v="91570"/>
    <n v="102756"/>
    <x v="1"/>
    <s v="Online"/>
    <s v="New"/>
    <x v="1"/>
    <x v="1"/>
    <x v="1"/>
    <m/>
  </r>
  <r>
    <d v="2023-06-11T13:22:37"/>
    <x v="0"/>
    <x v="3"/>
    <s v="Product A"/>
    <n v="121400"/>
    <n v="78816"/>
    <n v="54416"/>
    <x v="0"/>
    <s v="Wholesale"/>
    <s v="New"/>
    <x v="1"/>
    <x v="1"/>
    <x v="1"/>
    <m/>
  </r>
  <r>
    <d v="2023-06-13T13:14:45"/>
    <x v="4"/>
    <x v="0"/>
    <s v="Product B"/>
    <n v="85818"/>
    <n v="85588"/>
    <n v="14587"/>
    <x v="2"/>
    <s v="Wholesale"/>
    <s v="Returning"/>
    <x v="1"/>
    <x v="1"/>
    <x v="1"/>
    <m/>
  </r>
  <r>
    <d v="2023-06-15T13:06:53"/>
    <x v="0"/>
    <x v="0"/>
    <s v="Service X"/>
    <n v="9703"/>
    <n v="18531"/>
    <n v="115053"/>
    <x v="1"/>
    <s v="Wholesale"/>
    <s v="Returning"/>
    <x v="1"/>
    <x v="1"/>
    <x v="1"/>
    <m/>
  </r>
  <r>
    <d v="2023-06-17T12:59:01"/>
    <x v="4"/>
    <x v="0"/>
    <s v="Product A"/>
    <n v="77099"/>
    <n v="90340"/>
    <n v="100665"/>
    <x v="3"/>
    <s v="Wholesale"/>
    <s v="Returning"/>
    <x v="1"/>
    <x v="1"/>
    <x v="1"/>
    <m/>
  </r>
  <r>
    <d v="2023-06-19T12:51:09"/>
    <x v="1"/>
    <x v="0"/>
    <s v="Product A"/>
    <n v="36585"/>
    <n v="96439"/>
    <n v="5645"/>
    <x v="3"/>
    <s v="Online"/>
    <s v="New"/>
    <x v="1"/>
    <x v="1"/>
    <x v="1"/>
    <m/>
  </r>
  <r>
    <d v="2023-06-21T12:43:17"/>
    <x v="0"/>
    <x v="6"/>
    <s v="Service Y"/>
    <n v="48585"/>
    <n v="46857"/>
    <n v="35930"/>
    <x v="0"/>
    <s v="Online"/>
    <s v="New"/>
    <x v="1"/>
    <x v="1"/>
    <x v="1"/>
    <m/>
  </r>
  <r>
    <d v="2023-06-23T12:35:25"/>
    <x v="2"/>
    <x v="4"/>
    <s v="Service Y"/>
    <n v="31958"/>
    <n v="12142"/>
    <n v="86835"/>
    <x v="2"/>
    <s v="Wholesale"/>
    <s v="Returning"/>
    <x v="1"/>
    <x v="1"/>
    <x v="1"/>
    <m/>
  </r>
  <r>
    <d v="2023-06-25T12:27:32"/>
    <x v="4"/>
    <x v="6"/>
    <s v="Product C"/>
    <n v="31017"/>
    <n v="50355"/>
    <n v="35090"/>
    <x v="0"/>
    <s v="Retail"/>
    <s v="New"/>
    <x v="1"/>
    <x v="1"/>
    <x v="1"/>
    <m/>
  </r>
  <r>
    <d v="2023-06-27T12:19:40"/>
    <x v="4"/>
    <x v="6"/>
    <s v="Service Y"/>
    <n v="129677"/>
    <n v="11866"/>
    <n v="92489"/>
    <x v="2"/>
    <s v="Retail"/>
    <s v="Returning"/>
    <x v="1"/>
    <x v="1"/>
    <x v="1"/>
    <m/>
  </r>
  <r>
    <d v="2023-06-29T12:11:48"/>
    <x v="0"/>
    <x v="6"/>
    <s v="Product D"/>
    <n v="148273"/>
    <n v="72067"/>
    <n v="57142"/>
    <x v="1"/>
    <s v="Online"/>
    <s v="Returning"/>
    <x v="1"/>
    <x v="1"/>
    <x v="1"/>
    <m/>
  </r>
  <r>
    <d v="2023-07-01T12:03:56"/>
    <x v="2"/>
    <x v="0"/>
    <s v="Product B"/>
    <n v="34426"/>
    <n v="66027"/>
    <n v="116979"/>
    <x v="1"/>
    <s v="Wholesale"/>
    <s v="New"/>
    <x v="1"/>
    <x v="1"/>
    <x v="1"/>
    <m/>
  </r>
  <r>
    <d v="2023-07-03T11:56:04"/>
    <x v="2"/>
    <x v="3"/>
    <s v="Product B"/>
    <n v="22778"/>
    <n v="59906"/>
    <n v="31475"/>
    <x v="1"/>
    <s v="Wholesale"/>
    <s v="Returning"/>
    <x v="1"/>
    <x v="1"/>
    <x v="1"/>
    <m/>
  </r>
  <r>
    <d v="2023-07-05T11:48:12"/>
    <x v="1"/>
    <x v="5"/>
    <s v="Service X"/>
    <n v="47229"/>
    <n v="30138"/>
    <n v="23888"/>
    <x v="1"/>
    <s v="Online"/>
    <s v="New"/>
    <x v="1"/>
    <x v="1"/>
    <x v="1"/>
    <m/>
  </r>
  <r>
    <d v="2023-07-07T11:40:20"/>
    <x v="2"/>
    <x v="5"/>
    <s v="Service X"/>
    <n v="91652"/>
    <n v="94601"/>
    <n v="48732"/>
    <x v="3"/>
    <s v="Retail"/>
    <s v="New"/>
    <x v="1"/>
    <x v="1"/>
    <x v="1"/>
    <m/>
  </r>
  <r>
    <d v="2023-07-09T11:32:28"/>
    <x v="2"/>
    <x v="4"/>
    <s v="Product B"/>
    <n v="133267"/>
    <n v="31956"/>
    <n v="86623"/>
    <x v="3"/>
    <s v="Retail"/>
    <s v="Returning"/>
    <x v="1"/>
    <x v="1"/>
    <x v="1"/>
    <m/>
  </r>
  <r>
    <d v="2023-07-11T11:24:35"/>
    <x v="2"/>
    <x v="0"/>
    <s v="Service X"/>
    <n v="131503"/>
    <n v="78295"/>
    <n v="51305"/>
    <x v="0"/>
    <s v="Retail"/>
    <s v="New"/>
    <x v="1"/>
    <x v="1"/>
    <x v="1"/>
    <m/>
  </r>
  <r>
    <d v="2023-07-13T11:16:43"/>
    <x v="3"/>
    <x v="0"/>
    <s v="Product C"/>
    <n v="89878"/>
    <n v="7439"/>
    <n v="51037"/>
    <x v="2"/>
    <s v="Online"/>
    <s v="Returning"/>
    <x v="1"/>
    <x v="1"/>
    <x v="1"/>
    <m/>
  </r>
  <r>
    <d v="2023-07-15T11:08:51"/>
    <x v="1"/>
    <x v="0"/>
    <s v="Service Y"/>
    <n v="62056"/>
    <n v="49241"/>
    <n v="14346"/>
    <x v="1"/>
    <s v="Retail"/>
    <s v="New"/>
    <x v="1"/>
    <x v="1"/>
    <x v="1"/>
    <m/>
  </r>
  <r>
    <d v="2023-07-17T11:00:59"/>
    <x v="4"/>
    <x v="2"/>
    <s v="Product B"/>
    <n v="24975"/>
    <n v="44533"/>
    <n v="5587"/>
    <x v="1"/>
    <s v="Online"/>
    <s v="New"/>
    <x v="1"/>
    <x v="1"/>
    <x v="1"/>
    <m/>
  </r>
  <r>
    <d v="2023-07-19T10:53:07"/>
    <x v="0"/>
    <x v="1"/>
    <s v="Service X"/>
    <n v="147633"/>
    <n v="30270"/>
    <n v="17763"/>
    <x v="2"/>
    <s v="Online"/>
    <s v="New"/>
    <x v="1"/>
    <x v="1"/>
    <x v="1"/>
    <m/>
  </r>
  <r>
    <d v="2023-07-21T10:45:15"/>
    <x v="4"/>
    <x v="2"/>
    <s v="Product B"/>
    <n v="93397"/>
    <n v="80815"/>
    <n v="64165"/>
    <x v="2"/>
    <s v="Wholesale"/>
    <s v="Returning"/>
    <x v="1"/>
    <x v="1"/>
    <x v="1"/>
    <m/>
  </r>
  <r>
    <d v="2023-07-23T10:37:23"/>
    <x v="1"/>
    <x v="1"/>
    <s v="Product D"/>
    <n v="38142"/>
    <n v="41279"/>
    <n v="112481"/>
    <x v="0"/>
    <s v="Retail"/>
    <s v="New"/>
    <x v="1"/>
    <x v="1"/>
    <x v="1"/>
    <m/>
  </r>
  <r>
    <d v="2023-07-25T10:29:30"/>
    <x v="0"/>
    <x v="0"/>
    <s v="Product A"/>
    <n v="31916"/>
    <n v="25888"/>
    <n v="74615"/>
    <x v="2"/>
    <s v="Online"/>
    <s v="Returning"/>
    <x v="1"/>
    <x v="1"/>
    <x v="1"/>
    <m/>
  </r>
  <r>
    <d v="2023-07-27T10:21:38"/>
    <x v="1"/>
    <x v="0"/>
    <s v="Service Y"/>
    <n v="69324"/>
    <n v="19630"/>
    <n v="41116"/>
    <x v="1"/>
    <s v="Retail"/>
    <s v="New"/>
    <x v="1"/>
    <x v="1"/>
    <x v="1"/>
    <m/>
  </r>
  <r>
    <d v="2023-07-29T10:13:46"/>
    <x v="2"/>
    <x v="2"/>
    <s v="Product B"/>
    <n v="130932"/>
    <n v="63063"/>
    <n v="90751"/>
    <x v="1"/>
    <s v="Retail"/>
    <s v="New"/>
    <x v="1"/>
    <x v="1"/>
    <x v="1"/>
    <m/>
  </r>
  <r>
    <d v="2023-07-31T10:05:54"/>
    <x v="0"/>
    <x v="2"/>
    <s v="Product A"/>
    <n v="140720"/>
    <n v="37144"/>
    <n v="96353"/>
    <x v="1"/>
    <s v="Wholesale"/>
    <s v="Returning"/>
    <x v="1"/>
    <x v="1"/>
    <x v="1"/>
    <m/>
  </r>
  <r>
    <d v="2023-08-02T09:58:02"/>
    <x v="2"/>
    <x v="1"/>
    <s v="Service X"/>
    <n v="101059"/>
    <n v="54161"/>
    <n v="95301"/>
    <x v="1"/>
    <s v="Retail"/>
    <s v="Returning"/>
    <x v="1"/>
    <x v="1"/>
    <x v="1"/>
    <m/>
  </r>
  <r>
    <d v="2023-08-04T09:50:10"/>
    <x v="4"/>
    <x v="5"/>
    <s v="Product A"/>
    <n v="103317"/>
    <n v="98718"/>
    <n v="100648"/>
    <x v="1"/>
    <s v="Wholesale"/>
    <s v="Returning"/>
    <x v="1"/>
    <x v="1"/>
    <x v="1"/>
    <m/>
  </r>
  <r>
    <d v="2023-08-06T09:42:18"/>
    <x v="4"/>
    <x v="1"/>
    <s v="Service Y"/>
    <n v="40046"/>
    <n v="93074"/>
    <n v="30556"/>
    <x v="0"/>
    <s v="Online"/>
    <s v="Returning"/>
    <x v="1"/>
    <x v="1"/>
    <x v="1"/>
    <m/>
  </r>
  <r>
    <d v="2023-08-08T09:34:26"/>
    <x v="0"/>
    <x v="2"/>
    <s v="Product B"/>
    <n v="106459"/>
    <n v="79360"/>
    <n v="64042"/>
    <x v="1"/>
    <s v="Retail"/>
    <s v="Returning"/>
    <x v="1"/>
    <x v="1"/>
    <x v="1"/>
    <m/>
  </r>
  <r>
    <d v="2023-08-10T09:26:33"/>
    <x v="0"/>
    <x v="3"/>
    <s v="Product D"/>
    <n v="50893"/>
    <n v="52979"/>
    <n v="23099"/>
    <x v="0"/>
    <s v="Online"/>
    <s v="New"/>
    <x v="1"/>
    <x v="1"/>
    <x v="1"/>
    <m/>
  </r>
  <r>
    <d v="2023-08-12T09:18:41"/>
    <x v="1"/>
    <x v="2"/>
    <s v="Service X"/>
    <n v="106520"/>
    <n v="99661"/>
    <n v="114089"/>
    <x v="1"/>
    <s v="Retail"/>
    <s v="New"/>
    <x v="1"/>
    <x v="1"/>
    <x v="1"/>
    <m/>
  </r>
  <r>
    <d v="2023-08-14T09:10:49"/>
    <x v="1"/>
    <x v="3"/>
    <s v="Product B"/>
    <n v="130818"/>
    <n v="8979"/>
    <n v="50096"/>
    <x v="3"/>
    <s v="Online"/>
    <s v="Returning"/>
    <x v="1"/>
    <x v="1"/>
    <x v="1"/>
    <m/>
  </r>
  <r>
    <d v="2023-08-16T09:02:57"/>
    <x v="2"/>
    <x v="4"/>
    <s v="Service Y"/>
    <n v="66272"/>
    <n v="28189"/>
    <n v="76986"/>
    <x v="3"/>
    <s v="Retail"/>
    <s v="New"/>
    <x v="1"/>
    <x v="1"/>
    <x v="1"/>
    <m/>
  </r>
  <r>
    <d v="2023-08-18T08:55:05"/>
    <x v="0"/>
    <x v="2"/>
    <s v="Service X"/>
    <n v="72649"/>
    <n v="44600"/>
    <n v="18230"/>
    <x v="3"/>
    <s v="Retail"/>
    <s v="New"/>
    <x v="1"/>
    <x v="1"/>
    <x v="1"/>
    <m/>
  </r>
  <r>
    <d v="2023-08-20T08:47:13"/>
    <x v="4"/>
    <x v="4"/>
    <s v="Product C"/>
    <n v="69674"/>
    <n v="61560"/>
    <n v="34009"/>
    <x v="3"/>
    <s v="Retail"/>
    <s v="New"/>
    <x v="1"/>
    <x v="1"/>
    <x v="1"/>
    <m/>
  </r>
  <r>
    <d v="2023-08-22T08:39:21"/>
    <x v="1"/>
    <x v="5"/>
    <s v="Product A"/>
    <n v="149832"/>
    <n v="80040"/>
    <n v="75969"/>
    <x v="0"/>
    <s v="Retail"/>
    <s v="Returning"/>
    <x v="1"/>
    <x v="1"/>
    <x v="1"/>
    <m/>
  </r>
  <r>
    <d v="2023-08-24T08:31:29"/>
    <x v="1"/>
    <x v="1"/>
    <s v="Service Y"/>
    <n v="91475"/>
    <n v="63558"/>
    <n v="38866"/>
    <x v="0"/>
    <s v="Retail"/>
    <s v="New"/>
    <x v="1"/>
    <x v="1"/>
    <x v="1"/>
    <m/>
  </r>
  <r>
    <d v="2023-08-26T08:23:36"/>
    <x v="4"/>
    <x v="3"/>
    <s v="Product C"/>
    <n v="66367"/>
    <n v="88205"/>
    <n v="110400"/>
    <x v="2"/>
    <s v="Retail"/>
    <s v="New"/>
    <x v="1"/>
    <x v="1"/>
    <x v="1"/>
    <m/>
  </r>
  <r>
    <d v="2023-08-28T08:15:44"/>
    <x v="1"/>
    <x v="1"/>
    <s v="Product B"/>
    <n v="148660"/>
    <n v="8910"/>
    <n v="89246"/>
    <x v="1"/>
    <s v="Retail"/>
    <s v="New"/>
    <x v="1"/>
    <x v="1"/>
    <x v="1"/>
    <m/>
  </r>
  <r>
    <d v="2023-08-30T08:07:52"/>
    <x v="2"/>
    <x v="4"/>
    <s v="Product D"/>
    <n v="126750"/>
    <n v="59713"/>
    <n v="81975"/>
    <x v="3"/>
    <s v="Retail"/>
    <s v="Returning"/>
    <x v="1"/>
    <x v="1"/>
    <x v="1"/>
    <m/>
  </r>
  <r>
    <d v="2023-09-01T08:00:00"/>
    <x v="0"/>
    <x v="3"/>
    <s v="Service X"/>
    <n v="123154"/>
    <n v="48857"/>
    <n v="46855"/>
    <x v="0"/>
    <s v="Retail"/>
    <s v="New"/>
    <x v="1"/>
    <x v="1"/>
    <x v="1"/>
    <m/>
  </r>
  <r>
    <d v="2023-09-03T07:52:08"/>
    <x v="4"/>
    <x v="1"/>
    <s v="Product A"/>
    <n v="49738"/>
    <n v="36964"/>
    <n v="86557"/>
    <x v="1"/>
    <s v="Online"/>
    <s v="New"/>
    <x v="1"/>
    <x v="1"/>
    <x v="1"/>
    <m/>
  </r>
  <r>
    <d v="2023-09-05T07:44:16"/>
    <x v="0"/>
    <x v="2"/>
    <s v="Service X"/>
    <n v="38397"/>
    <n v="87667"/>
    <n v="11416"/>
    <x v="1"/>
    <s v="Wholesale"/>
    <s v="Returning"/>
    <x v="1"/>
    <x v="1"/>
    <x v="1"/>
    <m/>
  </r>
  <r>
    <d v="2023-09-07T07:36:24"/>
    <x v="1"/>
    <x v="0"/>
    <s v="Product B"/>
    <n v="87189"/>
    <n v="27227"/>
    <n v="77516"/>
    <x v="0"/>
    <s v="Retail"/>
    <s v="Returning"/>
    <x v="1"/>
    <x v="1"/>
    <x v="1"/>
    <m/>
  </r>
  <r>
    <d v="2023-09-09T07:28:31"/>
    <x v="1"/>
    <x v="4"/>
    <s v="Service X"/>
    <n v="81367"/>
    <n v="7978"/>
    <n v="60915"/>
    <x v="3"/>
    <s v="Wholesale"/>
    <s v="New"/>
    <x v="1"/>
    <x v="1"/>
    <x v="1"/>
    <m/>
  </r>
  <r>
    <d v="2023-09-11T07:20:39"/>
    <x v="4"/>
    <x v="1"/>
    <s v="Product A"/>
    <n v="125585"/>
    <n v="89527"/>
    <n v="23058"/>
    <x v="2"/>
    <s v="Retail"/>
    <s v="New"/>
    <x v="1"/>
    <x v="1"/>
    <x v="1"/>
    <m/>
  </r>
  <r>
    <d v="2023-09-13T07:12:47"/>
    <x v="2"/>
    <x v="4"/>
    <s v="Product B"/>
    <n v="81619"/>
    <n v="19153"/>
    <n v="81637"/>
    <x v="1"/>
    <s v="Retail"/>
    <s v="Returning"/>
    <x v="1"/>
    <x v="1"/>
    <x v="1"/>
    <m/>
  </r>
  <r>
    <d v="2023-09-15T07:04:55"/>
    <x v="3"/>
    <x v="6"/>
    <s v="Service X"/>
    <n v="116453"/>
    <n v="61765"/>
    <n v="45718"/>
    <x v="2"/>
    <s v="Online"/>
    <s v="Returning"/>
    <x v="1"/>
    <x v="1"/>
    <x v="1"/>
    <m/>
  </r>
  <r>
    <d v="2023-09-17T06:57:03"/>
    <x v="4"/>
    <x v="4"/>
    <s v="Product D"/>
    <n v="24816"/>
    <n v="41071"/>
    <n v="37602"/>
    <x v="3"/>
    <s v="Online"/>
    <s v="Returning"/>
    <x v="1"/>
    <x v="1"/>
    <x v="1"/>
    <m/>
  </r>
  <r>
    <d v="2023-09-19T06:49:11"/>
    <x v="3"/>
    <x v="3"/>
    <s v="Service Y"/>
    <n v="142348"/>
    <n v="71519"/>
    <n v="79658"/>
    <x v="3"/>
    <s v="Wholesale"/>
    <s v="Returning"/>
    <x v="1"/>
    <x v="1"/>
    <x v="1"/>
    <m/>
  </r>
  <r>
    <d v="2023-09-21T06:41:19"/>
    <x v="3"/>
    <x v="6"/>
    <s v="Product B"/>
    <n v="84530"/>
    <n v="11503"/>
    <n v="83112"/>
    <x v="2"/>
    <s v="Online"/>
    <s v="Returning"/>
    <x v="1"/>
    <x v="1"/>
    <x v="1"/>
    <m/>
  </r>
  <r>
    <d v="2023-09-23T06:33:27"/>
    <x v="2"/>
    <x v="3"/>
    <s v="Service Y"/>
    <n v="113856"/>
    <n v="62703"/>
    <n v="63067"/>
    <x v="3"/>
    <s v="Online"/>
    <s v="Returning"/>
    <x v="1"/>
    <x v="1"/>
    <x v="1"/>
    <m/>
  </r>
  <r>
    <d v="2023-09-25T06:25:34"/>
    <x v="3"/>
    <x v="0"/>
    <s v="Product B"/>
    <n v="76635"/>
    <n v="66379"/>
    <n v="32516"/>
    <x v="1"/>
    <s v="Wholesale"/>
    <s v="Returning"/>
    <x v="1"/>
    <x v="1"/>
    <x v="1"/>
    <m/>
  </r>
  <r>
    <d v="2023-09-27T06:17:42"/>
    <x v="3"/>
    <x v="6"/>
    <s v="Product D"/>
    <n v="112803"/>
    <n v="97457"/>
    <n v="92969"/>
    <x v="2"/>
    <s v="Online"/>
    <s v="New"/>
    <x v="1"/>
    <x v="1"/>
    <x v="1"/>
    <m/>
  </r>
  <r>
    <d v="2023-09-29T06:09:50"/>
    <x v="2"/>
    <x v="2"/>
    <s v="Service Y"/>
    <n v="40946"/>
    <n v="59866"/>
    <n v="6089"/>
    <x v="3"/>
    <s v="Retail"/>
    <s v="Returning"/>
    <x v="1"/>
    <x v="1"/>
    <x v="1"/>
    <m/>
  </r>
  <r>
    <d v="2023-10-01T06:01:58"/>
    <x v="3"/>
    <x v="4"/>
    <s v="Product C"/>
    <n v="60204"/>
    <n v="18905"/>
    <n v="42346"/>
    <x v="2"/>
    <s v="Wholesale"/>
    <s v="Returning"/>
    <x v="1"/>
    <x v="1"/>
    <x v="1"/>
    <m/>
  </r>
  <r>
    <d v="2023-10-03T05:54:06"/>
    <x v="3"/>
    <x v="1"/>
    <s v="Product A"/>
    <n v="20563"/>
    <n v="47838"/>
    <n v="79663"/>
    <x v="1"/>
    <s v="Wholesale"/>
    <s v="New"/>
    <x v="1"/>
    <x v="1"/>
    <x v="1"/>
    <m/>
  </r>
  <r>
    <d v="2023-10-05T05:46:14"/>
    <x v="3"/>
    <x v="5"/>
    <s v="Product C"/>
    <n v="97324"/>
    <n v="60279"/>
    <n v="15487"/>
    <x v="3"/>
    <s v="Retail"/>
    <s v="Returning"/>
    <x v="1"/>
    <x v="1"/>
    <x v="1"/>
    <m/>
  </r>
  <r>
    <d v="2023-10-07T05:38:22"/>
    <x v="4"/>
    <x v="4"/>
    <s v="Service X"/>
    <n v="14847"/>
    <n v="91489"/>
    <n v="5155"/>
    <x v="1"/>
    <s v="Online"/>
    <s v="Returning"/>
    <x v="1"/>
    <x v="1"/>
    <x v="1"/>
    <m/>
  </r>
  <r>
    <d v="2023-10-09T05:30:30"/>
    <x v="4"/>
    <x v="4"/>
    <s v="Product D"/>
    <n v="31155"/>
    <n v="28806"/>
    <n v="72494"/>
    <x v="3"/>
    <s v="Wholesale"/>
    <s v="New"/>
    <x v="1"/>
    <x v="1"/>
    <x v="1"/>
    <m/>
  </r>
  <r>
    <d v="2023-10-11T05:22:37"/>
    <x v="4"/>
    <x v="0"/>
    <s v="Product C"/>
    <n v="84671"/>
    <n v="47000"/>
    <n v="81229"/>
    <x v="0"/>
    <s v="Wholesale"/>
    <s v="Returning"/>
    <x v="1"/>
    <x v="1"/>
    <x v="1"/>
    <m/>
  </r>
  <r>
    <d v="2023-10-13T05:14:45"/>
    <x v="2"/>
    <x v="2"/>
    <s v="Product B"/>
    <n v="121891"/>
    <n v="24168"/>
    <n v="109648"/>
    <x v="3"/>
    <s v="Retail"/>
    <s v="New"/>
    <x v="1"/>
    <x v="1"/>
    <x v="1"/>
    <m/>
  </r>
  <r>
    <d v="2023-10-15T05:06:53"/>
    <x v="1"/>
    <x v="5"/>
    <s v="Service X"/>
    <n v="88310"/>
    <n v="72119"/>
    <n v="43547"/>
    <x v="2"/>
    <s v="Retail"/>
    <s v="New"/>
    <x v="1"/>
    <x v="1"/>
    <x v="1"/>
    <m/>
  </r>
  <r>
    <d v="2023-10-17T04:59:01"/>
    <x v="3"/>
    <x v="6"/>
    <s v="Service X"/>
    <n v="136691"/>
    <n v="40714"/>
    <n v="33795"/>
    <x v="3"/>
    <s v="Online"/>
    <s v="New"/>
    <x v="1"/>
    <x v="1"/>
    <x v="1"/>
    <m/>
  </r>
  <r>
    <d v="2023-10-19T04:51:09"/>
    <x v="3"/>
    <x v="6"/>
    <s v="Product C"/>
    <n v="39707"/>
    <n v="56093"/>
    <n v="60296"/>
    <x v="1"/>
    <s v="Wholesale"/>
    <s v="New"/>
    <x v="1"/>
    <x v="1"/>
    <x v="1"/>
    <m/>
  </r>
  <r>
    <d v="2023-10-21T04:43:17"/>
    <x v="2"/>
    <x v="6"/>
    <s v="Product C"/>
    <n v="86537"/>
    <n v="57419"/>
    <n v="26447"/>
    <x v="1"/>
    <s v="Online"/>
    <s v="Returning"/>
    <x v="1"/>
    <x v="1"/>
    <x v="1"/>
    <m/>
  </r>
  <r>
    <d v="2023-10-23T04:35:25"/>
    <x v="3"/>
    <x v="3"/>
    <s v="Product D"/>
    <n v="96155"/>
    <n v="51145"/>
    <n v="41598"/>
    <x v="3"/>
    <s v="Online"/>
    <s v="New"/>
    <x v="1"/>
    <x v="1"/>
    <x v="1"/>
    <m/>
  </r>
  <r>
    <d v="2023-10-25T04:27:32"/>
    <x v="4"/>
    <x v="3"/>
    <s v="Product A"/>
    <n v="5281"/>
    <n v="79425"/>
    <n v="46814"/>
    <x v="2"/>
    <s v="Retail"/>
    <s v="New"/>
    <x v="1"/>
    <x v="1"/>
    <x v="1"/>
    <m/>
  </r>
  <r>
    <d v="2023-10-27T04:19:40"/>
    <x v="1"/>
    <x v="1"/>
    <s v="Product C"/>
    <n v="137130"/>
    <n v="94949"/>
    <n v="95751"/>
    <x v="0"/>
    <s v="Wholesale"/>
    <s v="Returning"/>
    <x v="1"/>
    <x v="1"/>
    <x v="1"/>
    <m/>
  </r>
  <r>
    <d v="2023-10-29T04:11:48"/>
    <x v="0"/>
    <x v="5"/>
    <s v="Product C"/>
    <n v="81260"/>
    <n v="79811"/>
    <n v="80330"/>
    <x v="2"/>
    <s v="Wholesale"/>
    <s v="New"/>
    <x v="1"/>
    <x v="1"/>
    <x v="1"/>
    <m/>
  </r>
  <r>
    <d v="2023-10-31T04:03:56"/>
    <x v="3"/>
    <x v="6"/>
    <s v="Service Y"/>
    <n v="145272"/>
    <n v="4461"/>
    <n v="103745"/>
    <x v="0"/>
    <s v="Wholesale"/>
    <s v="New"/>
    <x v="1"/>
    <x v="1"/>
    <x v="1"/>
    <m/>
  </r>
  <r>
    <d v="2023-11-02T03:56:04"/>
    <x v="4"/>
    <x v="3"/>
    <s v="Product B"/>
    <n v="69178"/>
    <n v="16291"/>
    <n v="92960"/>
    <x v="1"/>
    <s v="Retail"/>
    <s v="New"/>
    <x v="1"/>
    <x v="1"/>
    <x v="1"/>
    <m/>
  </r>
  <r>
    <d v="2023-11-04T03:48:12"/>
    <x v="0"/>
    <x v="1"/>
    <s v="Service Y"/>
    <n v="38997"/>
    <n v="48804"/>
    <n v="68278"/>
    <x v="2"/>
    <s v="Retail"/>
    <s v="New"/>
    <x v="1"/>
    <x v="1"/>
    <x v="1"/>
    <m/>
  </r>
  <r>
    <d v="2023-11-06T03:40:20"/>
    <x v="1"/>
    <x v="2"/>
    <s v="Service Y"/>
    <n v="124273"/>
    <n v="78971"/>
    <n v="60077"/>
    <x v="0"/>
    <s v="Retail"/>
    <s v="Returning"/>
    <x v="1"/>
    <x v="1"/>
    <x v="1"/>
    <m/>
  </r>
  <r>
    <d v="2023-11-08T03:32:28"/>
    <x v="0"/>
    <x v="1"/>
    <s v="Service X"/>
    <n v="137311"/>
    <n v="95471"/>
    <n v="117782"/>
    <x v="3"/>
    <s v="Retail"/>
    <s v="New"/>
    <x v="1"/>
    <x v="1"/>
    <x v="1"/>
    <m/>
  </r>
  <r>
    <d v="2023-11-10T03:24:35"/>
    <x v="4"/>
    <x v="3"/>
    <s v="Product A"/>
    <n v="131945"/>
    <n v="66946"/>
    <n v="107932"/>
    <x v="1"/>
    <s v="Retail"/>
    <s v="Returning"/>
    <x v="1"/>
    <x v="1"/>
    <x v="1"/>
    <m/>
  </r>
  <r>
    <d v="2023-11-12T03:16:43"/>
    <x v="0"/>
    <x v="0"/>
    <s v="Product B"/>
    <n v="50272"/>
    <n v="86080"/>
    <n v="76906"/>
    <x v="3"/>
    <s v="Wholesale"/>
    <s v="Returning"/>
    <x v="1"/>
    <x v="1"/>
    <x v="1"/>
    <m/>
  </r>
  <r>
    <d v="2023-11-14T03:08:51"/>
    <x v="2"/>
    <x v="0"/>
    <s v="Product D"/>
    <n v="94393"/>
    <n v="63332"/>
    <n v="14528"/>
    <x v="1"/>
    <s v="Online"/>
    <s v="New"/>
    <x v="1"/>
    <x v="1"/>
    <x v="1"/>
    <m/>
  </r>
  <r>
    <d v="2023-11-16T03:00:59"/>
    <x v="0"/>
    <x v="6"/>
    <s v="Product D"/>
    <n v="66212"/>
    <n v="79794"/>
    <n v="98812"/>
    <x v="2"/>
    <s v="Wholesale"/>
    <s v="New"/>
    <x v="1"/>
    <x v="1"/>
    <x v="1"/>
    <m/>
  </r>
  <r>
    <d v="2023-11-18T02:53:07"/>
    <x v="3"/>
    <x v="0"/>
    <s v="Product C"/>
    <n v="125030"/>
    <n v="32841"/>
    <n v="55100"/>
    <x v="2"/>
    <s v="Online"/>
    <s v="New"/>
    <x v="1"/>
    <x v="1"/>
    <x v="1"/>
    <m/>
  </r>
  <r>
    <d v="2023-11-20T02:45:15"/>
    <x v="3"/>
    <x v="6"/>
    <s v="Product C"/>
    <n v="61503"/>
    <n v="50758"/>
    <n v="114869"/>
    <x v="1"/>
    <s v="Retail"/>
    <s v="New"/>
    <x v="1"/>
    <x v="1"/>
    <x v="1"/>
    <m/>
  </r>
  <r>
    <d v="2023-11-22T02:37:23"/>
    <x v="2"/>
    <x v="6"/>
    <s v="Product D"/>
    <n v="142710"/>
    <n v="78272"/>
    <n v="13179"/>
    <x v="1"/>
    <s v="Online"/>
    <s v="Returning"/>
    <x v="1"/>
    <x v="1"/>
    <x v="1"/>
    <m/>
  </r>
  <r>
    <d v="2023-11-24T02:29:30"/>
    <x v="4"/>
    <x v="3"/>
    <s v="Product C"/>
    <n v="11570"/>
    <n v="39643"/>
    <n v="53781"/>
    <x v="1"/>
    <s v="Wholesale"/>
    <s v="Returning"/>
    <x v="1"/>
    <x v="1"/>
    <x v="1"/>
    <m/>
  </r>
  <r>
    <d v="2023-11-26T02:21:38"/>
    <x v="3"/>
    <x v="0"/>
    <s v="Product A"/>
    <n v="73785"/>
    <n v="52408"/>
    <n v="60267"/>
    <x v="2"/>
    <s v="Wholesale"/>
    <s v="Returning"/>
    <x v="1"/>
    <x v="1"/>
    <x v="1"/>
    <m/>
  </r>
  <r>
    <d v="2023-11-28T02:13:46"/>
    <x v="1"/>
    <x v="6"/>
    <s v="Service Y"/>
    <n v="14110"/>
    <n v="45950"/>
    <n v="87379"/>
    <x v="0"/>
    <s v="Online"/>
    <s v="New"/>
    <x v="1"/>
    <x v="1"/>
    <x v="1"/>
    <m/>
  </r>
  <r>
    <d v="2023-11-30T02:05:54"/>
    <x v="3"/>
    <x v="5"/>
    <s v="Product C"/>
    <n v="84141"/>
    <n v="58849"/>
    <n v="28952"/>
    <x v="3"/>
    <s v="Retail"/>
    <s v="Returning"/>
    <x v="1"/>
    <x v="1"/>
    <x v="1"/>
    <m/>
  </r>
  <r>
    <d v="2023-12-02T01:58:02"/>
    <x v="3"/>
    <x v="2"/>
    <s v="Service X"/>
    <n v="17115"/>
    <n v="30044"/>
    <n v="58798"/>
    <x v="3"/>
    <s v="Retail"/>
    <s v="New"/>
    <x v="1"/>
    <x v="1"/>
    <x v="1"/>
    <m/>
  </r>
  <r>
    <d v="2023-12-04T01:50:10"/>
    <x v="4"/>
    <x v="1"/>
    <s v="Product C"/>
    <n v="44062"/>
    <n v="17997"/>
    <n v="103696"/>
    <x v="2"/>
    <s v="Wholesale"/>
    <s v="New"/>
    <x v="1"/>
    <x v="1"/>
    <x v="1"/>
    <m/>
  </r>
  <r>
    <d v="2023-12-06T01:42:18"/>
    <x v="0"/>
    <x v="1"/>
    <s v="Product B"/>
    <n v="27911"/>
    <n v="81751"/>
    <n v="115434"/>
    <x v="3"/>
    <s v="Online"/>
    <s v="New"/>
    <x v="1"/>
    <x v="1"/>
    <x v="1"/>
    <m/>
  </r>
  <r>
    <d v="2023-12-08T01:34:26"/>
    <x v="3"/>
    <x v="3"/>
    <s v="Product A"/>
    <n v="109061"/>
    <n v="25911"/>
    <n v="55939"/>
    <x v="1"/>
    <s v="Retail"/>
    <s v="New"/>
    <x v="1"/>
    <x v="1"/>
    <x v="1"/>
    <m/>
  </r>
  <r>
    <d v="2023-12-10T01:26:33"/>
    <x v="2"/>
    <x v="0"/>
    <s v="Product B"/>
    <n v="37556"/>
    <n v="57533"/>
    <n v="34516"/>
    <x v="0"/>
    <s v="Retail"/>
    <s v="New"/>
    <x v="1"/>
    <x v="1"/>
    <x v="1"/>
    <m/>
  </r>
  <r>
    <d v="2023-12-12T01:18:41"/>
    <x v="0"/>
    <x v="0"/>
    <s v="Product B"/>
    <n v="133335"/>
    <n v="84566"/>
    <n v="61526"/>
    <x v="3"/>
    <s v="Wholesale"/>
    <s v="Returning"/>
    <x v="1"/>
    <x v="1"/>
    <x v="1"/>
    <m/>
  </r>
  <r>
    <d v="2023-12-14T01:10:49"/>
    <x v="1"/>
    <x v="6"/>
    <s v="Service X"/>
    <n v="6969"/>
    <n v="96870"/>
    <n v="15449"/>
    <x v="0"/>
    <s v="Retail"/>
    <s v="Returning"/>
    <x v="1"/>
    <x v="1"/>
    <x v="1"/>
    <m/>
  </r>
  <r>
    <d v="2023-12-16T01:02:57"/>
    <x v="4"/>
    <x v="4"/>
    <s v="Product A"/>
    <n v="48753"/>
    <n v="16571"/>
    <n v="55290"/>
    <x v="1"/>
    <s v="Online"/>
    <s v="New"/>
    <x v="1"/>
    <x v="1"/>
    <x v="1"/>
    <m/>
  </r>
  <r>
    <d v="2023-12-18T00:55:05"/>
    <x v="1"/>
    <x v="6"/>
    <s v="Product A"/>
    <n v="140542"/>
    <n v="96463"/>
    <n v="91661"/>
    <x v="3"/>
    <s v="Wholesale"/>
    <s v="Returning"/>
    <x v="1"/>
    <x v="1"/>
    <x v="1"/>
    <m/>
  </r>
  <r>
    <d v="2023-12-20T00:47:13"/>
    <x v="0"/>
    <x v="2"/>
    <s v="Product A"/>
    <n v="126863"/>
    <n v="59941"/>
    <n v="77954"/>
    <x v="2"/>
    <s v="Wholesale"/>
    <s v="New"/>
    <x v="1"/>
    <x v="1"/>
    <x v="1"/>
    <m/>
  </r>
  <r>
    <d v="2023-12-22T00:39:21"/>
    <x v="0"/>
    <x v="5"/>
    <s v="Product A"/>
    <n v="15225"/>
    <n v="60005"/>
    <n v="27746"/>
    <x v="0"/>
    <s v="Online"/>
    <s v="New"/>
    <x v="1"/>
    <x v="1"/>
    <x v="1"/>
    <m/>
  </r>
  <r>
    <d v="2023-12-24T00:31:29"/>
    <x v="0"/>
    <x v="1"/>
    <s v="Product A"/>
    <n v="128008"/>
    <n v="88250"/>
    <n v="72990"/>
    <x v="1"/>
    <s v="Wholesale"/>
    <s v="New"/>
    <x v="1"/>
    <x v="1"/>
    <x v="1"/>
    <m/>
  </r>
  <r>
    <d v="2023-12-26T00:23:36"/>
    <x v="1"/>
    <x v="6"/>
    <s v="Service X"/>
    <n v="110823"/>
    <n v="60712"/>
    <n v="63810"/>
    <x v="0"/>
    <s v="Retail"/>
    <s v="Returning"/>
    <x v="1"/>
    <x v="1"/>
    <x v="1"/>
    <m/>
  </r>
  <r>
    <d v="2023-12-28T00:15:44"/>
    <x v="0"/>
    <x v="4"/>
    <s v="Product C"/>
    <n v="18669"/>
    <n v="45541"/>
    <n v="88297"/>
    <x v="3"/>
    <s v="Retail"/>
    <s v="New"/>
    <x v="1"/>
    <x v="1"/>
    <x v="1"/>
    <m/>
  </r>
  <r>
    <d v="2023-12-30T00:07:52"/>
    <x v="1"/>
    <x v="4"/>
    <s v="Product B"/>
    <n v="129398"/>
    <n v="25387"/>
    <n v="20223"/>
    <x v="3"/>
    <s v="Online"/>
    <s v="New"/>
    <x v="1"/>
    <x v="1"/>
    <x v="1"/>
    <m/>
  </r>
  <r>
    <d v="2024-01-01T00:00:00"/>
    <x v="0"/>
    <x v="6"/>
    <s v="Product A"/>
    <n v="115677"/>
    <n v="95980"/>
    <n v="77237"/>
    <x v="2"/>
    <s v="Retail"/>
    <s v="Returning"/>
    <x v="2"/>
    <x v="1"/>
    <x v="1"/>
    <m/>
  </r>
  <r>
    <d v="2024-01-02T23:52:08"/>
    <x v="2"/>
    <x v="3"/>
    <s v="Product C"/>
    <n v="53320"/>
    <n v="50908"/>
    <n v="7597"/>
    <x v="1"/>
    <s v="Online"/>
    <s v="Returning"/>
    <x v="2"/>
    <x v="1"/>
    <x v="1"/>
    <m/>
  </r>
  <r>
    <d v="2024-01-04T23:44:16"/>
    <x v="0"/>
    <x v="1"/>
    <s v="Product C"/>
    <n v="130354"/>
    <n v="87457"/>
    <n v="70677"/>
    <x v="1"/>
    <s v="Online"/>
    <s v="Returning"/>
    <x v="2"/>
    <x v="1"/>
    <x v="1"/>
    <m/>
  </r>
  <r>
    <d v="2024-01-06T23:36:24"/>
    <x v="1"/>
    <x v="3"/>
    <s v="Product B"/>
    <n v="93009"/>
    <n v="15057"/>
    <n v="7659"/>
    <x v="2"/>
    <s v="Retail"/>
    <s v="New"/>
    <x v="2"/>
    <x v="1"/>
    <x v="1"/>
    <m/>
  </r>
  <r>
    <d v="2024-01-08T23:28:31"/>
    <x v="3"/>
    <x v="5"/>
    <s v="Service X"/>
    <n v="33625"/>
    <n v="66028"/>
    <n v="91516"/>
    <x v="2"/>
    <s v="Online"/>
    <s v="New"/>
    <x v="2"/>
    <x v="1"/>
    <x v="1"/>
    <m/>
  </r>
  <r>
    <d v="2024-01-10T23:20:39"/>
    <x v="0"/>
    <x v="4"/>
    <s v="Product D"/>
    <n v="29089"/>
    <n v="57731"/>
    <n v="79567"/>
    <x v="1"/>
    <s v="Retail"/>
    <s v="Returning"/>
    <x v="2"/>
    <x v="1"/>
    <x v="1"/>
    <m/>
  </r>
  <r>
    <d v="2024-01-12T23:12:47"/>
    <x v="3"/>
    <x v="4"/>
    <s v="Product D"/>
    <n v="41487"/>
    <n v="26858"/>
    <n v="20037"/>
    <x v="0"/>
    <s v="Wholesale"/>
    <s v="New"/>
    <x v="2"/>
    <x v="1"/>
    <x v="1"/>
    <m/>
  </r>
  <r>
    <d v="2024-01-14T23:04:55"/>
    <x v="2"/>
    <x v="2"/>
    <s v="Product C"/>
    <n v="115448"/>
    <n v="50689"/>
    <n v="51738"/>
    <x v="0"/>
    <s v="Wholesale"/>
    <s v="Returning"/>
    <x v="2"/>
    <x v="1"/>
    <x v="1"/>
    <m/>
  </r>
  <r>
    <d v="2024-01-16T22:57:03"/>
    <x v="4"/>
    <x v="5"/>
    <s v="Service Y"/>
    <n v="55138"/>
    <n v="46638"/>
    <n v="108965"/>
    <x v="2"/>
    <s v="Online"/>
    <s v="Returning"/>
    <x v="2"/>
    <x v="1"/>
    <x v="1"/>
    <m/>
  </r>
  <r>
    <d v="2024-01-18T22:49:11"/>
    <x v="2"/>
    <x v="4"/>
    <s v="Service Y"/>
    <n v="59061"/>
    <n v="93598"/>
    <n v="76678"/>
    <x v="0"/>
    <s v="Retail"/>
    <s v="New"/>
    <x v="2"/>
    <x v="1"/>
    <x v="1"/>
    <m/>
  </r>
  <r>
    <d v="2024-01-20T22:41:19"/>
    <x v="0"/>
    <x v="5"/>
    <s v="Product B"/>
    <n v="106376"/>
    <n v="48486"/>
    <n v="17109"/>
    <x v="1"/>
    <s v="Retail"/>
    <s v="New"/>
    <x v="2"/>
    <x v="1"/>
    <x v="1"/>
    <m/>
  </r>
  <r>
    <d v="2024-01-22T22:33:27"/>
    <x v="3"/>
    <x v="1"/>
    <s v="Product D"/>
    <n v="84134"/>
    <n v="22567"/>
    <n v="27010"/>
    <x v="3"/>
    <s v="Wholesale"/>
    <s v="Returning"/>
    <x v="2"/>
    <x v="1"/>
    <x v="1"/>
    <m/>
  </r>
  <r>
    <d v="2024-01-24T22:25:34"/>
    <x v="3"/>
    <x v="0"/>
    <s v="Product C"/>
    <n v="52055"/>
    <n v="31739"/>
    <n v="13787"/>
    <x v="3"/>
    <s v="Wholesale"/>
    <s v="Returning"/>
    <x v="2"/>
    <x v="1"/>
    <x v="1"/>
    <m/>
  </r>
  <r>
    <d v="2024-01-26T22:17:42"/>
    <x v="1"/>
    <x v="4"/>
    <s v="Service X"/>
    <n v="24508"/>
    <n v="59804"/>
    <n v="113400"/>
    <x v="0"/>
    <s v="Retail"/>
    <s v="Returning"/>
    <x v="2"/>
    <x v="1"/>
    <x v="1"/>
    <m/>
  </r>
  <r>
    <d v="2024-01-28T22:09:50"/>
    <x v="3"/>
    <x v="2"/>
    <s v="Product D"/>
    <n v="115169"/>
    <n v="5754"/>
    <n v="13472"/>
    <x v="2"/>
    <s v="Online"/>
    <s v="Returning"/>
    <x v="2"/>
    <x v="1"/>
    <x v="1"/>
    <m/>
  </r>
  <r>
    <d v="2024-01-30T22:01:58"/>
    <x v="1"/>
    <x v="1"/>
    <s v="Product C"/>
    <n v="13125"/>
    <n v="29044"/>
    <n v="28383"/>
    <x v="2"/>
    <s v="Wholesale"/>
    <s v="New"/>
    <x v="2"/>
    <x v="1"/>
    <x v="1"/>
    <m/>
  </r>
  <r>
    <d v="2024-02-01T21:54:06"/>
    <x v="4"/>
    <x v="6"/>
    <s v="Product C"/>
    <n v="41059"/>
    <n v="69260"/>
    <n v="66709"/>
    <x v="2"/>
    <s v="Online"/>
    <s v="Returning"/>
    <x v="2"/>
    <x v="1"/>
    <x v="1"/>
    <m/>
  </r>
  <r>
    <d v="2024-02-03T21:46:14"/>
    <x v="0"/>
    <x v="5"/>
    <s v="Product A"/>
    <n v="108409"/>
    <n v="68912"/>
    <n v="74785"/>
    <x v="2"/>
    <s v="Online"/>
    <s v="Returning"/>
    <x v="2"/>
    <x v="1"/>
    <x v="1"/>
    <m/>
  </r>
  <r>
    <d v="2024-02-05T21:38:22"/>
    <x v="1"/>
    <x v="6"/>
    <s v="Service X"/>
    <n v="10704"/>
    <n v="10706"/>
    <n v="118253"/>
    <x v="2"/>
    <s v="Wholesale"/>
    <s v="Returning"/>
    <x v="2"/>
    <x v="1"/>
    <x v="1"/>
    <m/>
  </r>
  <r>
    <d v="2024-02-07T21:30:30"/>
    <x v="4"/>
    <x v="3"/>
    <s v="Product A"/>
    <n v="116279"/>
    <n v="10894"/>
    <n v="39518"/>
    <x v="0"/>
    <s v="Online"/>
    <s v="New"/>
    <x v="2"/>
    <x v="1"/>
    <x v="1"/>
    <m/>
  </r>
  <r>
    <d v="2024-02-09T21:22:37"/>
    <x v="3"/>
    <x v="1"/>
    <s v="Product B"/>
    <n v="123516"/>
    <n v="20037"/>
    <n v="58909"/>
    <x v="3"/>
    <s v="Online"/>
    <s v="New"/>
    <x v="2"/>
    <x v="1"/>
    <x v="1"/>
    <m/>
  </r>
  <r>
    <d v="2024-02-11T21:14:45"/>
    <x v="3"/>
    <x v="6"/>
    <s v="Product A"/>
    <n v="119044"/>
    <n v="85986"/>
    <n v="23351"/>
    <x v="3"/>
    <s v="Retail"/>
    <s v="Returning"/>
    <x v="2"/>
    <x v="1"/>
    <x v="1"/>
    <m/>
  </r>
  <r>
    <d v="2024-02-13T21:06:53"/>
    <x v="4"/>
    <x v="4"/>
    <s v="Product A"/>
    <n v="34165"/>
    <n v="83942"/>
    <n v="74624"/>
    <x v="0"/>
    <s v="Online"/>
    <s v="New"/>
    <x v="2"/>
    <x v="1"/>
    <x v="1"/>
    <m/>
  </r>
  <r>
    <d v="2024-02-15T20:59:01"/>
    <x v="3"/>
    <x v="5"/>
    <s v="Product D"/>
    <n v="72203"/>
    <n v="53612"/>
    <n v="58330"/>
    <x v="2"/>
    <s v="Retail"/>
    <s v="New"/>
    <x v="2"/>
    <x v="1"/>
    <x v="1"/>
    <m/>
  </r>
  <r>
    <d v="2024-02-17T20:51:09"/>
    <x v="4"/>
    <x v="0"/>
    <s v="Service Y"/>
    <n v="9114"/>
    <n v="31725"/>
    <n v="20282"/>
    <x v="0"/>
    <s v="Wholesale"/>
    <s v="New"/>
    <x v="2"/>
    <x v="1"/>
    <x v="1"/>
    <m/>
  </r>
  <r>
    <d v="2024-02-19T20:43:17"/>
    <x v="1"/>
    <x v="1"/>
    <s v="Product C"/>
    <n v="41321"/>
    <n v="7926"/>
    <n v="89866"/>
    <x v="3"/>
    <s v="Wholesale"/>
    <s v="Returning"/>
    <x v="2"/>
    <x v="1"/>
    <x v="1"/>
    <m/>
  </r>
  <r>
    <d v="2024-02-21T20:35:25"/>
    <x v="1"/>
    <x v="4"/>
    <s v="Service X"/>
    <n v="78297"/>
    <n v="11496"/>
    <n v="112945"/>
    <x v="1"/>
    <s v="Retail"/>
    <s v="Returning"/>
    <x v="2"/>
    <x v="1"/>
    <x v="1"/>
    <m/>
  </r>
  <r>
    <d v="2024-02-23T20:27:32"/>
    <x v="4"/>
    <x v="2"/>
    <s v="Product A"/>
    <n v="101652"/>
    <n v="58447"/>
    <n v="26778"/>
    <x v="0"/>
    <s v="Wholesale"/>
    <s v="New"/>
    <x v="2"/>
    <x v="1"/>
    <x v="1"/>
    <m/>
  </r>
  <r>
    <d v="2024-02-25T20:19:40"/>
    <x v="1"/>
    <x v="3"/>
    <s v="Service X"/>
    <n v="104304"/>
    <n v="31806"/>
    <n v="29264"/>
    <x v="2"/>
    <s v="Online"/>
    <s v="Returning"/>
    <x v="2"/>
    <x v="1"/>
    <x v="1"/>
    <m/>
  </r>
  <r>
    <d v="2024-02-27T20:11:48"/>
    <x v="1"/>
    <x v="5"/>
    <s v="Service Y"/>
    <n v="22772"/>
    <n v="90199"/>
    <n v="64675"/>
    <x v="3"/>
    <s v="Online"/>
    <s v="Returning"/>
    <x v="2"/>
    <x v="1"/>
    <x v="1"/>
    <m/>
  </r>
  <r>
    <d v="2024-02-29T20:03:56"/>
    <x v="1"/>
    <x v="1"/>
    <s v="Service Y"/>
    <n v="108754"/>
    <n v="43321"/>
    <n v="10075"/>
    <x v="3"/>
    <s v="Online"/>
    <s v="New"/>
    <x v="2"/>
    <x v="1"/>
    <x v="1"/>
    <m/>
  </r>
  <r>
    <d v="2024-03-02T19:56:04"/>
    <x v="2"/>
    <x v="1"/>
    <s v="Product A"/>
    <n v="8712"/>
    <n v="67095"/>
    <n v="80948"/>
    <x v="3"/>
    <s v="Wholesale"/>
    <s v="New"/>
    <x v="2"/>
    <x v="1"/>
    <x v="1"/>
    <m/>
  </r>
  <r>
    <d v="2024-03-04T19:48:12"/>
    <x v="0"/>
    <x v="0"/>
    <s v="Product B"/>
    <n v="137439"/>
    <n v="24656"/>
    <n v="53454"/>
    <x v="3"/>
    <s v="Online"/>
    <s v="Returning"/>
    <x v="2"/>
    <x v="1"/>
    <x v="1"/>
    <m/>
  </r>
  <r>
    <d v="2024-03-06T19:40:20"/>
    <x v="3"/>
    <x v="0"/>
    <s v="Product A"/>
    <n v="120142"/>
    <n v="57147"/>
    <n v="33365"/>
    <x v="2"/>
    <s v="Wholesale"/>
    <s v="New"/>
    <x v="2"/>
    <x v="1"/>
    <x v="1"/>
    <m/>
  </r>
  <r>
    <d v="2024-03-08T19:32:28"/>
    <x v="2"/>
    <x v="2"/>
    <s v="Product D"/>
    <n v="96736"/>
    <n v="93396"/>
    <n v="77766"/>
    <x v="1"/>
    <s v="Online"/>
    <s v="Returning"/>
    <x v="2"/>
    <x v="1"/>
    <x v="1"/>
    <m/>
  </r>
  <r>
    <d v="2024-03-10T19:24:35"/>
    <x v="1"/>
    <x v="3"/>
    <s v="Product C"/>
    <n v="56924"/>
    <n v="51666"/>
    <n v="53200"/>
    <x v="3"/>
    <s v="Retail"/>
    <s v="Returning"/>
    <x v="2"/>
    <x v="1"/>
    <x v="1"/>
    <m/>
  </r>
  <r>
    <d v="2024-03-12T19:16:43"/>
    <x v="4"/>
    <x v="2"/>
    <s v="Product B"/>
    <n v="8726"/>
    <n v="84368"/>
    <n v="16002"/>
    <x v="0"/>
    <s v="Wholesale"/>
    <s v="New"/>
    <x v="2"/>
    <x v="1"/>
    <x v="1"/>
    <m/>
  </r>
  <r>
    <d v="2024-03-14T19:08:51"/>
    <x v="1"/>
    <x v="4"/>
    <s v="Product A"/>
    <n v="94152"/>
    <n v="40787"/>
    <n v="18947"/>
    <x v="1"/>
    <s v="Wholesale"/>
    <s v="Returning"/>
    <x v="2"/>
    <x v="1"/>
    <x v="1"/>
    <m/>
  </r>
  <r>
    <d v="2024-03-16T19:00:59"/>
    <x v="0"/>
    <x v="4"/>
    <s v="Service X"/>
    <n v="32723"/>
    <n v="64946"/>
    <n v="84222"/>
    <x v="3"/>
    <s v="Online"/>
    <s v="Returning"/>
    <x v="2"/>
    <x v="1"/>
    <x v="1"/>
    <m/>
  </r>
  <r>
    <d v="2024-03-18T18:53:07"/>
    <x v="1"/>
    <x v="2"/>
    <s v="Product B"/>
    <n v="131969"/>
    <n v="23727"/>
    <n v="99840"/>
    <x v="1"/>
    <s v="Wholesale"/>
    <s v="New"/>
    <x v="2"/>
    <x v="1"/>
    <x v="1"/>
    <m/>
  </r>
  <r>
    <d v="2024-03-20T18:45:15"/>
    <x v="4"/>
    <x v="3"/>
    <s v="Product B"/>
    <n v="105494"/>
    <n v="97081"/>
    <n v="83610"/>
    <x v="0"/>
    <s v="Wholesale"/>
    <s v="New"/>
    <x v="2"/>
    <x v="1"/>
    <x v="1"/>
    <m/>
  </r>
  <r>
    <d v="2024-03-22T18:37:23"/>
    <x v="0"/>
    <x v="2"/>
    <s v="Product A"/>
    <n v="145180"/>
    <n v="70056"/>
    <n v="57142"/>
    <x v="3"/>
    <s v="Retail"/>
    <s v="New"/>
    <x v="2"/>
    <x v="1"/>
    <x v="1"/>
    <m/>
  </r>
  <r>
    <d v="2024-03-24T18:29:30"/>
    <x v="1"/>
    <x v="3"/>
    <s v="Product B"/>
    <n v="40643"/>
    <n v="5081"/>
    <n v="61307"/>
    <x v="0"/>
    <s v="Retail"/>
    <s v="Returning"/>
    <x v="2"/>
    <x v="1"/>
    <x v="1"/>
    <m/>
  </r>
  <r>
    <d v="2024-03-26T18:21:38"/>
    <x v="0"/>
    <x v="3"/>
    <s v="Service X"/>
    <n v="108896"/>
    <n v="36196"/>
    <n v="9493"/>
    <x v="2"/>
    <s v="Online"/>
    <s v="New"/>
    <x v="2"/>
    <x v="1"/>
    <x v="1"/>
    <m/>
  </r>
  <r>
    <d v="2024-03-28T18:13:46"/>
    <x v="3"/>
    <x v="6"/>
    <s v="Service Y"/>
    <n v="144999"/>
    <n v="38735"/>
    <n v="55085"/>
    <x v="3"/>
    <s v="Retail"/>
    <s v="New"/>
    <x v="2"/>
    <x v="1"/>
    <x v="1"/>
    <m/>
  </r>
  <r>
    <d v="2024-03-30T18:05:54"/>
    <x v="3"/>
    <x v="5"/>
    <s v="Product B"/>
    <n v="98680"/>
    <n v="82102"/>
    <n v="39228"/>
    <x v="3"/>
    <s v="Online"/>
    <s v="New"/>
    <x v="2"/>
    <x v="1"/>
    <x v="1"/>
    <m/>
  </r>
  <r>
    <d v="2024-04-01T17:58:02"/>
    <x v="1"/>
    <x v="3"/>
    <s v="Service Y"/>
    <n v="101546"/>
    <n v="81578"/>
    <n v="84676"/>
    <x v="3"/>
    <s v="Online"/>
    <s v="New"/>
    <x v="2"/>
    <x v="1"/>
    <x v="1"/>
    <m/>
  </r>
  <r>
    <d v="2024-04-03T17:50:10"/>
    <x v="0"/>
    <x v="0"/>
    <s v="Service X"/>
    <n v="84973"/>
    <n v="27498"/>
    <n v="56875"/>
    <x v="3"/>
    <s v="Online"/>
    <s v="Returning"/>
    <x v="2"/>
    <x v="1"/>
    <x v="1"/>
    <m/>
  </r>
  <r>
    <d v="2024-04-05T17:42:18"/>
    <x v="4"/>
    <x v="3"/>
    <s v="Product A"/>
    <n v="68449"/>
    <n v="78865"/>
    <n v="36655"/>
    <x v="2"/>
    <s v="Wholesale"/>
    <s v="Returning"/>
    <x v="2"/>
    <x v="1"/>
    <x v="1"/>
    <m/>
  </r>
  <r>
    <d v="2024-04-07T17:34:26"/>
    <x v="1"/>
    <x v="3"/>
    <s v="Product C"/>
    <n v="114834"/>
    <n v="33656"/>
    <n v="48472"/>
    <x v="3"/>
    <s v="Retail"/>
    <s v="New"/>
    <x v="2"/>
    <x v="1"/>
    <x v="1"/>
    <m/>
  </r>
  <r>
    <d v="2024-04-09T17:26:33"/>
    <x v="3"/>
    <x v="3"/>
    <s v="Product B"/>
    <n v="30537"/>
    <n v="69695"/>
    <n v="54437"/>
    <x v="1"/>
    <s v="Online"/>
    <s v="Returning"/>
    <x v="2"/>
    <x v="1"/>
    <x v="1"/>
    <m/>
  </r>
  <r>
    <d v="2024-04-11T17:18:41"/>
    <x v="3"/>
    <x v="6"/>
    <s v="Product C"/>
    <n v="82576"/>
    <n v="39900"/>
    <n v="54416"/>
    <x v="3"/>
    <s v="Retail"/>
    <s v="New"/>
    <x v="2"/>
    <x v="1"/>
    <x v="1"/>
    <m/>
  </r>
  <r>
    <d v="2024-04-13T17:10:49"/>
    <x v="1"/>
    <x v="6"/>
    <s v="Service X"/>
    <n v="112522"/>
    <n v="86899"/>
    <n v="64711"/>
    <x v="2"/>
    <s v="Online"/>
    <s v="New"/>
    <x v="2"/>
    <x v="1"/>
    <x v="1"/>
    <m/>
  </r>
  <r>
    <d v="2024-04-15T17:02:57"/>
    <x v="0"/>
    <x v="4"/>
    <s v="Product B"/>
    <n v="27612"/>
    <n v="49701"/>
    <n v="11816"/>
    <x v="3"/>
    <s v="Retail"/>
    <s v="Returning"/>
    <x v="2"/>
    <x v="1"/>
    <x v="1"/>
    <m/>
  </r>
  <r>
    <d v="2024-04-17T16:55:05"/>
    <x v="3"/>
    <x v="6"/>
    <s v="Service Y"/>
    <n v="11471"/>
    <n v="21033"/>
    <n v="82175"/>
    <x v="1"/>
    <s v="Retail"/>
    <s v="Returning"/>
    <x v="2"/>
    <x v="1"/>
    <x v="1"/>
    <m/>
  </r>
  <r>
    <d v="2024-04-19T16:47:13"/>
    <x v="0"/>
    <x v="0"/>
    <s v="Product D"/>
    <n v="36348"/>
    <n v="12805"/>
    <n v="69307"/>
    <x v="2"/>
    <s v="Online"/>
    <s v="New"/>
    <x v="2"/>
    <x v="1"/>
    <x v="1"/>
    <m/>
  </r>
  <r>
    <d v="2024-04-21T16:39:21"/>
    <x v="3"/>
    <x v="0"/>
    <s v="Product C"/>
    <n v="6177"/>
    <n v="37851"/>
    <n v="117728"/>
    <x v="2"/>
    <s v="Wholesale"/>
    <s v="New"/>
    <x v="2"/>
    <x v="1"/>
    <x v="1"/>
    <m/>
  </r>
  <r>
    <d v="2024-04-23T16:31:29"/>
    <x v="3"/>
    <x v="6"/>
    <s v="Product B"/>
    <n v="140832"/>
    <n v="28832"/>
    <n v="51733"/>
    <x v="1"/>
    <s v="Retail"/>
    <s v="Returning"/>
    <x v="2"/>
    <x v="1"/>
    <x v="1"/>
    <m/>
  </r>
  <r>
    <d v="2024-04-25T16:23:36"/>
    <x v="2"/>
    <x v="2"/>
    <s v="Product C"/>
    <n v="37779"/>
    <n v="65437"/>
    <n v="100028"/>
    <x v="1"/>
    <s v="Wholesale"/>
    <s v="New"/>
    <x v="2"/>
    <x v="1"/>
    <x v="1"/>
    <m/>
  </r>
  <r>
    <d v="2024-04-27T16:15:44"/>
    <x v="3"/>
    <x v="5"/>
    <s v="Product B"/>
    <n v="26636"/>
    <n v="15944"/>
    <n v="16240"/>
    <x v="1"/>
    <s v="Wholesale"/>
    <s v="Returning"/>
    <x v="2"/>
    <x v="1"/>
    <x v="1"/>
    <m/>
  </r>
  <r>
    <d v="2024-04-29T16:07:52"/>
    <x v="4"/>
    <x v="6"/>
    <s v="Product A"/>
    <n v="86889"/>
    <n v="21873"/>
    <n v="103234"/>
    <x v="1"/>
    <s v="Online"/>
    <s v="New"/>
    <x v="2"/>
    <x v="1"/>
    <x v="1"/>
    <m/>
  </r>
  <r>
    <d v="2024-05-01T16:00:00"/>
    <x v="1"/>
    <x v="3"/>
    <s v="Service Y"/>
    <n v="58551"/>
    <n v="42372"/>
    <n v="97493"/>
    <x v="1"/>
    <s v="Online"/>
    <s v="New"/>
    <x v="2"/>
    <x v="1"/>
    <x v="1"/>
    <m/>
  </r>
  <r>
    <d v="2024-05-03T15:52:08"/>
    <x v="1"/>
    <x v="1"/>
    <s v="Product C"/>
    <n v="147628"/>
    <n v="91464"/>
    <n v="103344"/>
    <x v="2"/>
    <s v="Online"/>
    <s v="Returning"/>
    <x v="2"/>
    <x v="1"/>
    <x v="1"/>
    <m/>
  </r>
  <r>
    <d v="2024-05-05T15:44:16"/>
    <x v="0"/>
    <x v="5"/>
    <s v="Product D"/>
    <n v="147635"/>
    <n v="17379"/>
    <n v="76363"/>
    <x v="2"/>
    <s v="Retail"/>
    <s v="Returning"/>
    <x v="2"/>
    <x v="1"/>
    <x v="1"/>
    <m/>
  </r>
  <r>
    <d v="2024-05-07T15:36:24"/>
    <x v="3"/>
    <x v="5"/>
    <s v="Product D"/>
    <n v="51819"/>
    <n v="38751"/>
    <n v="37762"/>
    <x v="3"/>
    <s v="Online"/>
    <s v="Returning"/>
    <x v="2"/>
    <x v="1"/>
    <x v="1"/>
    <m/>
  </r>
  <r>
    <d v="2024-05-09T15:28:31"/>
    <x v="4"/>
    <x v="0"/>
    <s v="Service X"/>
    <n v="78770"/>
    <n v="91822"/>
    <n v="13259"/>
    <x v="3"/>
    <s v="Online"/>
    <s v="Returning"/>
    <x v="2"/>
    <x v="1"/>
    <x v="1"/>
    <m/>
  </r>
  <r>
    <d v="2024-05-11T15:20:39"/>
    <x v="0"/>
    <x v="5"/>
    <s v="Product B"/>
    <n v="83714"/>
    <n v="7110"/>
    <n v="55139"/>
    <x v="0"/>
    <s v="Retail"/>
    <s v="Returning"/>
    <x v="2"/>
    <x v="1"/>
    <x v="1"/>
    <m/>
  </r>
  <r>
    <d v="2024-05-13T15:12:47"/>
    <x v="2"/>
    <x v="6"/>
    <s v="Product C"/>
    <n v="29596"/>
    <n v="56341"/>
    <n v="19849"/>
    <x v="3"/>
    <s v="Retail"/>
    <s v="Returning"/>
    <x v="2"/>
    <x v="1"/>
    <x v="1"/>
    <m/>
  </r>
  <r>
    <d v="2024-05-15T15:04:55"/>
    <x v="0"/>
    <x v="3"/>
    <s v="Service X"/>
    <n v="69106"/>
    <n v="14087"/>
    <n v="86768"/>
    <x v="3"/>
    <s v="Online"/>
    <s v="Returning"/>
    <x v="2"/>
    <x v="1"/>
    <x v="1"/>
    <m/>
  </r>
  <r>
    <d v="2024-05-17T14:57:03"/>
    <x v="0"/>
    <x v="3"/>
    <s v="Product C"/>
    <n v="64182"/>
    <n v="25762"/>
    <n v="111108"/>
    <x v="1"/>
    <s v="Online"/>
    <s v="New"/>
    <x v="2"/>
    <x v="1"/>
    <x v="1"/>
    <m/>
  </r>
  <r>
    <d v="2024-05-19T14:49:11"/>
    <x v="3"/>
    <x v="4"/>
    <s v="Product B"/>
    <n v="92163"/>
    <n v="84617"/>
    <n v="94709"/>
    <x v="1"/>
    <s v="Online"/>
    <s v="New"/>
    <x v="2"/>
    <x v="1"/>
    <x v="1"/>
    <m/>
  </r>
  <r>
    <d v="2024-05-21T14:41:19"/>
    <x v="2"/>
    <x v="3"/>
    <s v="Product D"/>
    <n v="44310"/>
    <n v="11596"/>
    <n v="59869"/>
    <x v="3"/>
    <s v="Online"/>
    <s v="New"/>
    <x v="2"/>
    <x v="1"/>
    <x v="1"/>
    <m/>
  </r>
  <r>
    <d v="2024-05-23T14:33:27"/>
    <x v="0"/>
    <x v="3"/>
    <s v="Product A"/>
    <n v="61088"/>
    <n v="20313"/>
    <n v="68095"/>
    <x v="0"/>
    <s v="Wholesale"/>
    <s v="Returning"/>
    <x v="2"/>
    <x v="1"/>
    <x v="1"/>
    <m/>
  </r>
  <r>
    <d v="2024-05-25T14:25:34"/>
    <x v="4"/>
    <x v="0"/>
    <s v="Product D"/>
    <n v="133803"/>
    <n v="68549"/>
    <n v="75910"/>
    <x v="1"/>
    <s v="Wholesale"/>
    <s v="Returning"/>
    <x v="2"/>
    <x v="1"/>
    <x v="1"/>
    <m/>
  </r>
  <r>
    <d v="2024-05-27T14:17:42"/>
    <x v="4"/>
    <x v="3"/>
    <s v="Service X"/>
    <n v="144978"/>
    <n v="25705"/>
    <n v="91710"/>
    <x v="3"/>
    <s v="Online"/>
    <s v="Returning"/>
    <x v="2"/>
    <x v="1"/>
    <x v="1"/>
    <m/>
  </r>
  <r>
    <d v="2024-05-29T14:09:50"/>
    <x v="1"/>
    <x v="4"/>
    <s v="Service Y"/>
    <n v="41914"/>
    <n v="69364"/>
    <n v="28567"/>
    <x v="3"/>
    <s v="Wholesale"/>
    <s v="New"/>
    <x v="2"/>
    <x v="1"/>
    <x v="1"/>
    <m/>
  </r>
  <r>
    <d v="2024-05-31T14:01:58"/>
    <x v="2"/>
    <x v="1"/>
    <s v="Product A"/>
    <n v="115350"/>
    <n v="75445"/>
    <n v="40292"/>
    <x v="2"/>
    <s v="Retail"/>
    <s v="Returning"/>
    <x v="2"/>
    <x v="1"/>
    <x v="1"/>
    <m/>
  </r>
  <r>
    <d v="2024-06-02T13:54:06"/>
    <x v="2"/>
    <x v="6"/>
    <s v="Service X"/>
    <n v="50379"/>
    <n v="80645"/>
    <n v="79813"/>
    <x v="0"/>
    <s v="Wholesale"/>
    <s v="Returning"/>
    <x v="2"/>
    <x v="1"/>
    <x v="1"/>
    <m/>
  </r>
  <r>
    <d v="2024-06-04T13:46:14"/>
    <x v="1"/>
    <x v="0"/>
    <s v="Product B"/>
    <n v="51413"/>
    <n v="4023"/>
    <n v="102136"/>
    <x v="2"/>
    <s v="Wholesale"/>
    <s v="New"/>
    <x v="2"/>
    <x v="1"/>
    <x v="1"/>
    <m/>
  </r>
  <r>
    <d v="2024-06-06T13:38:22"/>
    <x v="0"/>
    <x v="1"/>
    <s v="Product A"/>
    <n v="142084"/>
    <n v="61796"/>
    <n v="56631"/>
    <x v="0"/>
    <s v="Online"/>
    <s v="Returning"/>
    <x v="2"/>
    <x v="1"/>
    <x v="1"/>
    <m/>
  </r>
  <r>
    <d v="2024-06-08T13:30:30"/>
    <x v="2"/>
    <x v="0"/>
    <s v="Service X"/>
    <n v="12151"/>
    <n v="82073"/>
    <n v="14885"/>
    <x v="1"/>
    <s v="Wholesale"/>
    <s v="New"/>
    <x v="2"/>
    <x v="1"/>
    <x v="1"/>
    <m/>
  </r>
  <r>
    <d v="2024-06-10T13:22:37"/>
    <x v="4"/>
    <x v="2"/>
    <s v="Product B"/>
    <n v="62716"/>
    <n v="94197"/>
    <n v="64659"/>
    <x v="0"/>
    <s v="Wholesale"/>
    <s v="New"/>
    <x v="2"/>
    <x v="1"/>
    <x v="1"/>
    <m/>
  </r>
  <r>
    <d v="2024-06-12T13:14:45"/>
    <x v="4"/>
    <x v="5"/>
    <s v="Product D"/>
    <n v="98747"/>
    <n v="66429"/>
    <n v="59306"/>
    <x v="3"/>
    <s v="Wholesale"/>
    <s v="Returning"/>
    <x v="2"/>
    <x v="1"/>
    <x v="1"/>
    <m/>
  </r>
  <r>
    <d v="2024-06-14T13:06:53"/>
    <x v="3"/>
    <x v="2"/>
    <s v="Service Y"/>
    <n v="149539"/>
    <n v="63627"/>
    <n v="71314"/>
    <x v="3"/>
    <s v="Wholesale"/>
    <s v="Returning"/>
    <x v="2"/>
    <x v="1"/>
    <x v="1"/>
    <m/>
  </r>
  <r>
    <d v="2024-06-16T12:59:01"/>
    <x v="2"/>
    <x v="3"/>
    <s v="Product B"/>
    <n v="126999"/>
    <n v="35848"/>
    <n v="70087"/>
    <x v="0"/>
    <s v="Retail"/>
    <s v="Returning"/>
    <x v="2"/>
    <x v="1"/>
    <x v="1"/>
    <m/>
  </r>
  <r>
    <d v="2024-06-18T12:51:09"/>
    <x v="0"/>
    <x v="1"/>
    <s v="Product C"/>
    <n v="119793"/>
    <n v="39804"/>
    <n v="34165"/>
    <x v="0"/>
    <s v="Online"/>
    <s v="New"/>
    <x v="2"/>
    <x v="1"/>
    <x v="1"/>
    <m/>
  </r>
  <r>
    <d v="2024-06-20T12:43:17"/>
    <x v="1"/>
    <x v="3"/>
    <s v="Product B"/>
    <n v="113177"/>
    <n v="17379"/>
    <n v="63929"/>
    <x v="0"/>
    <s v="Online"/>
    <s v="New"/>
    <x v="2"/>
    <x v="1"/>
    <x v="1"/>
    <m/>
  </r>
  <r>
    <d v="2024-06-22T12:35:25"/>
    <x v="1"/>
    <x v="5"/>
    <s v="Product B"/>
    <n v="17289"/>
    <n v="61664"/>
    <n v="72028"/>
    <x v="2"/>
    <s v="Retail"/>
    <s v="New"/>
    <x v="2"/>
    <x v="1"/>
    <x v="1"/>
    <m/>
  </r>
  <r>
    <d v="2024-06-24T12:27:32"/>
    <x v="0"/>
    <x v="0"/>
    <s v="Service Y"/>
    <n v="91365"/>
    <n v="29766"/>
    <n v="100998"/>
    <x v="0"/>
    <s v="Wholesale"/>
    <s v="Returning"/>
    <x v="2"/>
    <x v="1"/>
    <x v="1"/>
    <m/>
  </r>
  <r>
    <d v="2024-06-26T12:19:40"/>
    <x v="3"/>
    <x v="5"/>
    <s v="Product C"/>
    <n v="119014"/>
    <n v="70099"/>
    <n v="54812"/>
    <x v="1"/>
    <s v="Retail"/>
    <s v="Returning"/>
    <x v="2"/>
    <x v="1"/>
    <x v="1"/>
    <m/>
  </r>
  <r>
    <d v="2024-06-28T12:11:48"/>
    <x v="1"/>
    <x v="4"/>
    <s v="Service X"/>
    <n v="77588"/>
    <n v="38060"/>
    <n v="55500"/>
    <x v="2"/>
    <s v="Wholesale"/>
    <s v="Returning"/>
    <x v="2"/>
    <x v="1"/>
    <x v="1"/>
    <m/>
  </r>
  <r>
    <d v="2024-06-30T12:03:56"/>
    <x v="2"/>
    <x v="5"/>
    <s v="Service X"/>
    <n v="68646"/>
    <n v="96733"/>
    <n v="84151"/>
    <x v="2"/>
    <s v="Retail"/>
    <s v="Returning"/>
    <x v="2"/>
    <x v="1"/>
    <x v="1"/>
    <m/>
  </r>
  <r>
    <d v="2024-07-02T11:56:04"/>
    <x v="3"/>
    <x v="4"/>
    <s v="Product B"/>
    <n v="8654"/>
    <n v="71122"/>
    <n v="63643"/>
    <x v="0"/>
    <s v="Online"/>
    <s v="New"/>
    <x v="2"/>
    <x v="1"/>
    <x v="1"/>
    <m/>
  </r>
  <r>
    <d v="2024-07-04T11:48:12"/>
    <x v="2"/>
    <x v="5"/>
    <s v="Product C"/>
    <n v="23743"/>
    <n v="18087"/>
    <n v="49900"/>
    <x v="1"/>
    <s v="Online"/>
    <s v="New"/>
    <x v="2"/>
    <x v="1"/>
    <x v="1"/>
    <m/>
  </r>
  <r>
    <d v="2024-07-06T11:40:20"/>
    <x v="4"/>
    <x v="6"/>
    <s v="Product C"/>
    <n v="53368"/>
    <n v="50868"/>
    <n v="47946"/>
    <x v="2"/>
    <s v="Online"/>
    <s v="New"/>
    <x v="2"/>
    <x v="1"/>
    <x v="1"/>
    <m/>
  </r>
  <r>
    <d v="2024-07-08T11:32:28"/>
    <x v="3"/>
    <x v="4"/>
    <s v="Service Y"/>
    <n v="142513"/>
    <n v="25225"/>
    <n v="12851"/>
    <x v="3"/>
    <s v="Wholesale"/>
    <s v="New"/>
    <x v="2"/>
    <x v="1"/>
    <x v="1"/>
    <m/>
  </r>
  <r>
    <d v="2024-07-10T11:24:35"/>
    <x v="1"/>
    <x v="1"/>
    <s v="Product D"/>
    <n v="124735"/>
    <n v="97286"/>
    <n v="21288"/>
    <x v="2"/>
    <s v="Wholesale"/>
    <s v="Returning"/>
    <x v="2"/>
    <x v="1"/>
    <x v="1"/>
    <m/>
  </r>
  <r>
    <d v="2024-07-12T11:16:43"/>
    <x v="3"/>
    <x v="3"/>
    <s v="Service X"/>
    <n v="124891"/>
    <n v="8643"/>
    <n v="77692"/>
    <x v="0"/>
    <s v="Retail"/>
    <s v="Returning"/>
    <x v="2"/>
    <x v="1"/>
    <x v="1"/>
    <m/>
  </r>
  <r>
    <d v="2024-07-14T11:08:51"/>
    <x v="3"/>
    <x v="3"/>
    <s v="Service Y"/>
    <n v="112971"/>
    <n v="95059"/>
    <n v="72580"/>
    <x v="1"/>
    <s v="Retail"/>
    <s v="Returning"/>
    <x v="2"/>
    <x v="1"/>
    <x v="1"/>
    <m/>
  </r>
  <r>
    <d v="2024-07-16T11:00:59"/>
    <x v="3"/>
    <x v="2"/>
    <s v="Product A"/>
    <n v="17149"/>
    <n v="38727"/>
    <n v="12368"/>
    <x v="0"/>
    <s v="Online"/>
    <s v="New"/>
    <x v="2"/>
    <x v="1"/>
    <x v="1"/>
    <m/>
  </r>
  <r>
    <d v="2024-07-18T10:53:07"/>
    <x v="3"/>
    <x v="3"/>
    <s v="Service X"/>
    <n v="105102"/>
    <n v="13005"/>
    <n v="90436"/>
    <x v="3"/>
    <s v="Wholesale"/>
    <s v="New"/>
    <x v="2"/>
    <x v="1"/>
    <x v="1"/>
    <m/>
  </r>
  <r>
    <d v="2024-07-20T10:45:15"/>
    <x v="2"/>
    <x v="0"/>
    <s v="Service Y"/>
    <n v="64189"/>
    <n v="67697"/>
    <n v="101136"/>
    <x v="3"/>
    <s v="Retail"/>
    <s v="Returning"/>
    <x v="2"/>
    <x v="1"/>
    <x v="1"/>
    <m/>
  </r>
  <r>
    <d v="2024-07-22T10:37:23"/>
    <x v="4"/>
    <x v="6"/>
    <s v="Service X"/>
    <n v="76031"/>
    <n v="18029"/>
    <n v="51403"/>
    <x v="3"/>
    <s v="Wholesale"/>
    <s v="Returning"/>
    <x v="2"/>
    <x v="1"/>
    <x v="1"/>
    <m/>
  </r>
  <r>
    <d v="2024-07-24T10:29:30"/>
    <x v="0"/>
    <x v="5"/>
    <s v="Product D"/>
    <n v="47668"/>
    <n v="16226"/>
    <n v="96170"/>
    <x v="0"/>
    <s v="Wholesale"/>
    <s v="New"/>
    <x v="2"/>
    <x v="1"/>
    <x v="1"/>
    <m/>
  </r>
  <r>
    <d v="2024-07-26T10:21:38"/>
    <x v="3"/>
    <x v="2"/>
    <s v="Product A"/>
    <n v="149745"/>
    <n v="65646"/>
    <n v="14168"/>
    <x v="2"/>
    <s v="Online"/>
    <s v="Returning"/>
    <x v="2"/>
    <x v="1"/>
    <x v="1"/>
    <m/>
  </r>
  <r>
    <d v="2024-07-28T10:13:46"/>
    <x v="1"/>
    <x v="0"/>
    <s v="Product D"/>
    <n v="93204"/>
    <n v="62603"/>
    <n v="91497"/>
    <x v="0"/>
    <s v="Online"/>
    <s v="New"/>
    <x v="2"/>
    <x v="1"/>
    <x v="1"/>
    <m/>
  </r>
  <r>
    <d v="2024-07-30T10:05:54"/>
    <x v="3"/>
    <x v="0"/>
    <s v="Product A"/>
    <n v="145507"/>
    <n v="30731"/>
    <n v="54879"/>
    <x v="1"/>
    <s v="Wholesale"/>
    <s v="New"/>
    <x v="2"/>
    <x v="1"/>
    <x v="1"/>
    <m/>
  </r>
  <r>
    <d v="2024-08-01T09:58:02"/>
    <x v="1"/>
    <x v="4"/>
    <s v="Product B"/>
    <n v="42384"/>
    <n v="70926"/>
    <n v="64871"/>
    <x v="2"/>
    <s v="Wholesale"/>
    <s v="New"/>
    <x v="2"/>
    <x v="1"/>
    <x v="1"/>
    <m/>
  </r>
  <r>
    <d v="2024-08-03T09:50:10"/>
    <x v="2"/>
    <x v="3"/>
    <s v="Service Y"/>
    <n v="86929"/>
    <n v="7997"/>
    <n v="114632"/>
    <x v="3"/>
    <s v="Wholesale"/>
    <s v="Returning"/>
    <x v="2"/>
    <x v="1"/>
    <x v="1"/>
    <m/>
  </r>
  <r>
    <d v="2024-08-05T09:42:18"/>
    <x v="1"/>
    <x v="1"/>
    <s v="Product A"/>
    <n v="132959"/>
    <n v="57506"/>
    <n v="116623"/>
    <x v="0"/>
    <s v="Wholesale"/>
    <s v="Returning"/>
    <x v="2"/>
    <x v="1"/>
    <x v="1"/>
    <m/>
  </r>
  <r>
    <d v="2024-08-07T09:34:26"/>
    <x v="0"/>
    <x v="1"/>
    <s v="Product D"/>
    <n v="81153"/>
    <n v="80229"/>
    <n v="94388"/>
    <x v="3"/>
    <s v="Online"/>
    <s v="New"/>
    <x v="2"/>
    <x v="1"/>
    <x v="1"/>
    <m/>
  </r>
  <r>
    <d v="2024-08-09T09:26:33"/>
    <x v="4"/>
    <x v="2"/>
    <s v="Service X"/>
    <n v="80388"/>
    <n v="51815"/>
    <n v="103646"/>
    <x v="3"/>
    <s v="Retail"/>
    <s v="Returning"/>
    <x v="2"/>
    <x v="1"/>
    <x v="1"/>
    <m/>
  </r>
  <r>
    <d v="2024-08-11T09:18:41"/>
    <x v="1"/>
    <x v="6"/>
    <s v="Product A"/>
    <n v="36401"/>
    <n v="44092"/>
    <n v="37174"/>
    <x v="1"/>
    <s v="Online"/>
    <s v="New"/>
    <x v="2"/>
    <x v="1"/>
    <x v="1"/>
    <m/>
  </r>
  <r>
    <d v="2024-08-13T09:10:49"/>
    <x v="1"/>
    <x v="1"/>
    <s v="Service Y"/>
    <n v="124503"/>
    <n v="64539"/>
    <n v="104751"/>
    <x v="2"/>
    <s v="Retail"/>
    <s v="New"/>
    <x v="2"/>
    <x v="1"/>
    <x v="1"/>
    <m/>
  </r>
  <r>
    <d v="2024-08-15T09:02:57"/>
    <x v="4"/>
    <x v="5"/>
    <s v="Product A"/>
    <n v="132834"/>
    <n v="68077"/>
    <n v="97491"/>
    <x v="1"/>
    <s v="Wholesale"/>
    <s v="New"/>
    <x v="2"/>
    <x v="1"/>
    <x v="1"/>
    <m/>
  </r>
  <r>
    <d v="2024-08-17T08:55:05"/>
    <x v="0"/>
    <x v="1"/>
    <s v="Product C"/>
    <n v="39084"/>
    <n v="23817"/>
    <n v="11581"/>
    <x v="1"/>
    <s v="Retail"/>
    <s v="New"/>
    <x v="2"/>
    <x v="1"/>
    <x v="1"/>
    <m/>
  </r>
  <r>
    <d v="2024-08-19T08:47:13"/>
    <x v="3"/>
    <x v="2"/>
    <s v="Service X"/>
    <n v="115641"/>
    <n v="39861"/>
    <n v="115155"/>
    <x v="1"/>
    <s v="Online"/>
    <s v="Returning"/>
    <x v="2"/>
    <x v="1"/>
    <x v="1"/>
    <m/>
  </r>
  <r>
    <d v="2024-08-21T08:39:21"/>
    <x v="1"/>
    <x v="1"/>
    <s v="Service Y"/>
    <n v="110111"/>
    <n v="15428"/>
    <n v="76853"/>
    <x v="3"/>
    <s v="Online"/>
    <s v="New"/>
    <x v="2"/>
    <x v="1"/>
    <x v="1"/>
    <m/>
  </r>
  <r>
    <d v="2024-08-23T08:31:29"/>
    <x v="4"/>
    <x v="5"/>
    <s v="Service Y"/>
    <n v="143299"/>
    <n v="45934"/>
    <n v="69046"/>
    <x v="1"/>
    <s v="Wholesale"/>
    <s v="New"/>
    <x v="2"/>
    <x v="1"/>
    <x v="1"/>
    <m/>
  </r>
  <r>
    <d v="2024-08-25T08:23:36"/>
    <x v="2"/>
    <x v="4"/>
    <s v="Product B"/>
    <n v="41041"/>
    <n v="12258"/>
    <n v="54678"/>
    <x v="1"/>
    <s v="Online"/>
    <s v="Returning"/>
    <x v="2"/>
    <x v="1"/>
    <x v="1"/>
    <m/>
  </r>
  <r>
    <d v="2024-08-27T08:15:44"/>
    <x v="4"/>
    <x v="6"/>
    <s v="Product D"/>
    <n v="93920"/>
    <n v="59775"/>
    <n v="113392"/>
    <x v="2"/>
    <s v="Wholesale"/>
    <s v="New"/>
    <x v="2"/>
    <x v="1"/>
    <x v="1"/>
    <m/>
  </r>
  <r>
    <d v="2024-08-29T08:07:52"/>
    <x v="2"/>
    <x v="2"/>
    <s v="Product B"/>
    <n v="70681"/>
    <n v="83580"/>
    <n v="116250"/>
    <x v="2"/>
    <s v="Online"/>
    <s v="New"/>
    <x v="2"/>
    <x v="1"/>
    <x v="1"/>
    <m/>
  </r>
  <r>
    <d v="2024-08-31T08:00:00"/>
    <x v="0"/>
    <x v="4"/>
    <s v="Service Y"/>
    <n v="86571"/>
    <n v="96947"/>
    <n v="31649"/>
    <x v="1"/>
    <s v="Online"/>
    <s v="Returning"/>
    <x v="2"/>
    <x v="1"/>
    <x v="1"/>
    <m/>
  </r>
  <r>
    <d v="2024-09-02T07:52:08"/>
    <x v="3"/>
    <x v="4"/>
    <s v="Service X"/>
    <n v="132556"/>
    <n v="7469"/>
    <n v="93668"/>
    <x v="2"/>
    <s v="Wholesale"/>
    <s v="Returning"/>
    <x v="2"/>
    <x v="1"/>
    <x v="1"/>
    <m/>
  </r>
  <r>
    <d v="2024-09-04T07:44:16"/>
    <x v="4"/>
    <x v="4"/>
    <s v="Product A"/>
    <n v="31160"/>
    <n v="30854"/>
    <n v="87325"/>
    <x v="2"/>
    <s v="Retail"/>
    <s v="Returning"/>
    <x v="2"/>
    <x v="1"/>
    <x v="1"/>
    <m/>
  </r>
  <r>
    <d v="2024-09-06T07:36:24"/>
    <x v="1"/>
    <x v="0"/>
    <s v="Product A"/>
    <n v="22633"/>
    <n v="8256"/>
    <n v="19567"/>
    <x v="1"/>
    <s v="Online"/>
    <s v="New"/>
    <x v="2"/>
    <x v="1"/>
    <x v="1"/>
    <m/>
  </r>
  <r>
    <d v="2024-09-08T07:28:31"/>
    <x v="0"/>
    <x v="6"/>
    <s v="Service X"/>
    <n v="22014"/>
    <n v="78256"/>
    <n v="85404"/>
    <x v="3"/>
    <s v="Retail"/>
    <s v="Returning"/>
    <x v="2"/>
    <x v="1"/>
    <x v="1"/>
    <m/>
  </r>
  <r>
    <d v="2024-09-10T07:20:39"/>
    <x v="4"/>
    <x v="3"/>
    <s v="Service Y"/>
    <n v="85532"/>
    <n v="35937"/>
    <n v="94906"/>
    <x v="1"/>
    <s v="Online"/>
    <s v="Returning"/>
    <x v="2"/>
    <x v="1"/>
    <x v="1"/>
    <m/>
  </r>
  <r>
    <d v="2024-09-12T07:12:47"/>
    <x v="1"/>
    <x v="6"/>
    <s v="Product A"/>
    <n v="54104"/>
    <n v="3651"/>
    <n v="113069"/>
    <x v="2"/>
    <s v="Online"/>
    <s v="New"/>
    <x v="2"/>
    <x v="1"/>
    <x v="1"/>
    <m/>
  </r>
  <r>
    <d v="2024-09-14T07:04:55"/>
    <x v="4"/>
    <x v="0"/>
    <s v="Product A"/>
    <n v="82231"/>
    <n v="52288"/>
    <n v="101019"/>
    <x v="3"/>
    <s v="Online"/>
    <s v="New"/>
    <x v="2"/>
    <x v="1"/>
    <x v="1"/>
    <m/>
  </r>
  <r>
    <d v="2024-09-16T06:57:03"/>
    <x v="2"/>
    <x v="3"/>
    <s v="Product A"/>
    <n v="73388"/>
    <n v="86730"/>
    <n v="66944"/>
    <x v="0"/>
    <s v="Online"/>
    <s v="New"/>
    <x v="2"/>
    <x v="1"/>
    <x v="1"/>
    <m/>
  </r>
  <r>
    <d v="2024-09-18T06:49:11"/>
    <x v="4"/>
    <x v="6"/>
    <s v="Product D"/>
    <n v="21014"/>
    <n v="27051"/>
    <n v="83002"/>
    <x v="3"/>
    <s v="Retail"/>
    <s v="New"/>
    <x v="2"/>
    <x v="1"/>
    <x v="1"/>
    <m/>
  </r>
  <r>
    <d v="2024-09-20T06:41:19"/>
    <x v="4"/>
    <x v="4"/>
    <s v="Product D"/>
    <n v="97578"/>
    <n v="29386"/>
    <n v="33803"/>
    <x v="2"/>
    <s v="Retail"/>
    <s v="New"/>
    <x v="2"/>
    <x v="1"/>
    <x v="1"/>
    <m/>
  </r>
  <r>
    <d v="2024-09-22T06:33:27"/>
    <x v="4"/>
    <x v="2"/>
    <s v="Product C"/>
    <n v="45390"/>
    <n v="77054"/>
    <n v="23230"/>
    <x v="3"/>
    <s v="Online"/>
    <s v="Returning"/>
    <x v="2"/>
    <x v="1"/>
    <x v="1"/>
    <m/>
  </r>
  <r>
    <d v="2024-09-24T06:25:34"/>
    <x v="0"/>
    <x v="3"/>
    <s v="Product B"/>
    <n v="28711"/>
    <n v="18184"/>
    <n v="22862"/>
    <x v="1"/>
    <s v="Online"/>
    <s v="Returning"/>
    <x v="2"/>
    <x v="1"/>
    <x v="1"/>
    <m/>
  </r>
  <r>
    <d v="2024-09-26T06:17:42"/>
    <x v="4"/>
    <x v="5"/>
    <s v="Service X"/>
    <n v="96658"/>
    <n v="35787"/>
    <n v="48355"/>
    <x v="0"/>
    <s v="Retail"/>
    <s v="Returning"/>
    <x v="2"/>
    <x v="1"/>
    <x v="1"/>
    <m/>
  </r>
  <r>
    <d v="2024-09-28T06:09:50"/>
    <x v="1"/>
    <x v="5"/>
    <s v="Service X"/>
    <n v="62993"/>
    <n v="23621"/>
    <n v="36259"/>
    <x v="0"/>
    <s v="Wholesale"/>
    <s v="New"/>
    <x v="2"/>
    <x v="1"/>
    <x v="1"/>
    <m/>
  </r>
  <r>
    <d v="2024-09-30T06:01:58"/>
    <x v="2"/>
    <x v="1"/>
    <s v="Service X"/>
    <n v="12421"/>
    <n v="77564"/>
    <n v="104075"/>
    <x v="0"/>
    <s v="Wholesale"/>
    <s v="New"/>
    <x v="2"/>
    <x v="1"/>
    <x v="1"/>
    <m/>
  </r>
  <r>
    <d v="2024-10-02T05:54:06"/>
    <x v="2"/>
    <x v="3"/>
    <s v="Product C"/>
    <n v="22727"/>
    <n v="79984"/>
    <n v="92445"/>
    <x v="2"/>
    <s v="Retail"/>
    <s v="New"/>
    <x v="2"/>
    <x v="1"/>
    <x v="1"/>
    <m/>
  </r>
  <r>
    <d v="2024-10-04T05:46:14"/>
    <x v="4"/>
    <x v="2"/>
    <s v="Product D"/>
    <n v="117418"/>
    <n v="61792"/>
    <n v="35795"/>
    <x v="2"/>
    <s v="Online"/>
    <s v="Returning"/>
    <x v="2"/>
    <x v="1"/>
    <x v="1"/>
    <m/>
  </r>
  <r>
    <d v="2024-10-06T05:38:22"/>
    <x v="0"/>
    <x v="0"/>
    <s v="Service Y"/>
    <n v="9358"/>
    <n v="47253"/>
    <n v="119604"/>
    <x v="0"/>
    <s v="Online"/>
    <s v="Returning"/>
    <x v="2"/>
    <x v="1"/>
    <x v="1"/>
    <m/>
  </r>
  <r>
    <d v="2024-10-08T05:30:30"/>
    <x v="0"/>
    <x v="4"/>
    <s v="Service Y"/>
    <n v="70108"/>
    <n v="36051"/>
    <n v="13770"/>
    <x v="3"/>
    <s v="Wholesale"/>
    <s v="New"/>
    <x v="2"/>
    <x v="1"/>
    <x v="1"/>
    <m/>
  </r>
  <r>
    <d v="2024-10-10T05:22:37"/>
    <x v="1"/>
    <x v="1"/>
    <s v="Product C"/>
    <n v="99018"/>
    <n v="51811"/>
    <n v="16093"/>
    <x v="0"/>
    <s v="Wholesale"/>
    <s v="Returning"/>
    <x v="2"/>
    <x v="1"/>
    <x v="1"/>
    <m/>
  </r>
  <r>
    <d v="2024-10-12T05:14:45"/>
    <x v="4"/>
    <x v="5"/>
    <s v="Service Y"/>
    <n v="129457"/>
    <n v="32447"/>
    <n v="51571"/>
    <x v="3"/>
    <s v="Retail"/>
    <s v="New"/>
    <x v="2"/>
    <x v="1"/>
    <x v="1"/>
    <m/>
  </r>
  <r>
    <d v="2024-10-14T05:06:53"/>
    <x v="2"/>
    <x v="0"/>
    <s v="Service X"/>
    <n v="36910"/>
    <n v="85930"/>
    <n v="5193"/>
    <x v="3"/>
    <s v="Wholesale"/>
    <s v="Returning"/>
    <x v="2"/>
    <x v="1"/>
    <x v="1"/>
    <m/>
  </r>
  <r>
    <d v="2024-10-16T04:59:01"/>
    <x v="0"/>
    <x v="0"/>
    <s v="Product B"/>
    <n v="131888"/>
    <n v="32254"/>
    <n v="105311"/>
    <x v="2"/>
    <s v="Retail"/>
    <s v="Returning"/>
    <x v="2"/>
    <x v="1"/>
    <x v="1"/>
    <m/>
  </r>
  <r>
    <d v="2024-10-18T04:51:09"/>
    <x v="4"/>
    <x v="4"/>
    <s v="Product A"/>
    <n v="60754"/>
    <n v="86045"/>
    <n v="22569"/>
    <x v="3"/>
    <s v="Wholesale"/>
    <s v="Returning"/>
    <x v="2"/>
    <x v="1"/>
    <x v="1"/>
    <m/>
  </r>
  <r>
    <d v="2024-10-20T04:43:17"/>
    <x v="0"/>
    <x v="3"/>
    <s v="Product D"/>
    <n v="114847"/>
    <n v="59418"/>
    <n v="16190"/>
    <x v="0"/>
    <s v="Wholesale"/>
    <s v="New"/>
    <x v="2"/>
    <x v="1"/>
    <x v="1"/>
    <m/>
  </r>
  <r>
    <d v="2024-10-22T04:35:25"/>
    <x v="0"/>
    <x v="5"/>
    <s v="Product D"/>
    <n v="43467"/>
    <n v="16472"/>
    <n v="67824"/>
    <x v="2"/>
    <s v="Wholesale"/>
    <s v="Returning"/>
    <x v="2"/>
    <x v="1"/>
    <x v="1"/>
    <m/>
  </r>
  <r>
    <d v="2024-10-24T04:27:32"/>
    <x v="2"/>
    <x v="2"/>
    <s v="Product C"/>
    <n v="38893"/>
    <n v="5471"/>
    <n v="47752"/>
    <x v="1"/>
    <s v="Online"/>
    <s v="Returning"/>
    <x v="2"/>
    <x v="1"/>
    <x v="1"/>
    <m/>
  </r>
  <r>
    <d v="2024-10-26T04:19:40"/>
    <x v="3"/>
    <x v="0"/>
    <s v="Product D"/>
    <n v="81329"/>
    <n v="97804"/>
    <n v="37327"/>
    <x v="1"/>
    <s v="Online"/>
    <s v="New"/>
    <x v="2"/>
    <x v="1"/>
    <x v="1"/>
    <m/>
  </r>
  <r>
    <d v="2024-10-28T04:11:48"/>
    <x v="1"/>
    <x v="4"/>
    <s v="Service X"/>
    <n v="36007"/>
    <n v="10329"/>
    <n v="47070"/>
    <x v="2"/>
    <s v="Online"/>
    <s v="Returning"/>
    <x v="2"/>
    <x v="1"/>
    <x v="1"/>
    <m/>
  </r>
  <r>
    <d v="2024-10-30T04:03:56"/>
    <x v="1"/>
    <x v="2"/>
    <s v="Service Y"/>
    <n v="59253"/>
    <n v="36865"/>
    <n v="90925"/>
    <x v="0"/>
    <s v="Wholesale"/>
    <s v="New"/>
    <x v="2"/>
    <x v="1"/>
    <x v="1"/>
    <m/>
  </r>
  <r>
    <d v="2024-11-01T03:56:04"/>
    <x v="2"/>
    <x v="3"/>
    <s v="Service X"/>
    <n v="17323"/>
    <n v="48850"/>
    <n v="45197"/>
    <x v="1"/>
    <s v="Retail"/>
    <s v="New"/>
    <x v="2"/>
    <x v="1"/>
    <x v="1"/>
    <m/>
  </r>
  <r>
    <d v="2024-11-03T03:48:12"/>
    <x v="0"/>
    <x v="5"/>
    <s v="Product C"/>
    <n v="116335"/>
    <n v="56220"/>
    <n v="7261"/>
    <x v="1"/>
    <s v="Retail"/>
    <s v="New"/>
    <x v="2"/>
    <x v="1"/>
    <x v="1"/>
    <m/>
  </r>
  <r>
    <d v="2024-11-05T03:40:20"/>
    <x v="4"/>
    <x v="3"/>
    <s v="Service X"/>
    <n v="117356"/>
    <n v="95808"/>
    <n v="98905"/>
    <x v="3"/>
    <s v="Retail"/>
    <s v="New"/>
    <x v="2"/>
    <x v="1"/>
    <x v="1"/>
    <m/>
  </r>
  <r>
    <d v="2024-11-07T03:32:28"/>
    <x v="0"/>
    <x v="0"/>
    <s v="Service Y"/>
    <n v="115944"/>
    <n v="8397"/>
    <n v="31512"/>
    <x v="3"/>
    <s v="Retail"/>
    <s v="New"/>
    <x v="2"/>
    <x v="1"/>
    <x v="1"/>
    <m/>
  </r>
  <r>
    <d v="2024-11-09T03:24:35"/>
    <x v="2"/>
    <x v="2"/>
    <s v="Product B"/>
    <n v="21456"/>
    <n v="99909"/>
    <n v="11716"/>
    <x v="0"/>
    <s v="Online"/>
    <s v="Returning"/>
    <x v="2"/>
    <x v="1"/>
    <x v="1"/>
    <m/>
  </r>
  <r>
    <d v="2024-11-11T03:16:43"/>
    <x v="1"/>
    <x v="2"/>
    <s v="Product C"/>
    <n v="36367"/>
    <n v="37525"/>
    <n v="91795"/>
    <x v="2"/>
    <s v="Online"/>
    <s v="New"/>
    <x v="2"/>
    <x v="1"/>
    <x v="1"/>
    <m/>
  </r>
  <r>
    <d v="2024-11-13T03:08:51"/>
    <x v="0"/>
    <x v="2"/>
    <s v="Product B"/>
    <n v="59624"/>
    <n v="55072"/>
    <n v="33933"/>
    <x v="0"/>
    <s v="Wholesale"/>
    <s v="New"/>
    <x v="2"/>
    <x v="1"/>
    <x v="1"/>
    <m/>
  </r>
  <r>
    <d v="2024-11-15T03:00:59"/>
    <x v="1"/>
    <x v="0"/>
    <s v="Product A"/>
    <n v="146178"/>
    <n v="92106"/>
    <n v="112225"/>
    <x v="2"/>
    <s v="Wholesale"/>
    <s v="New"/>
    <x v="2"/>
    <x v="1"/>
    <x v="1"/>
    <m/>
  </r>
  <r>
    <d v="2024-11-17T02:53:07"/>
    <x v="4"/>
    <x v="0"/>
    <s v="Product B"/>
    <n v="73008"/>
    <n v="85820"/>
    <n v="9378"/>
    <x v="1"/>
    <s v="Retail"/>
    <s v="New"/>
    <x v="2"/>
    <x v="1"/>
    <x v="1"/>
    <m/>
  </r>
  <r>
    <d v="2024-11-19T02:45:15"/>
    <x v="1"/>
    <x v="3"/>
    <s v="Product A"/>
    <n v="130926"/>
    <n v="86530"/>
    <n v="45583"/>
    <x v="3"/>
    <s v="Online"/>
    <s v="Returning"/>
    <x v="2"/>
    <x v="1"/>
    <x v="1"/>
    <m/>
  </r>
  <r>
    <d v="2024-11-21T02:37:23"/>
    <x v="1"/>
    <x v="1"/>
    <s v="Product A"/>
    <n v="120395"/>
    <n v="25284"/>
    <n v="117082"/>
    <x v="0"/>
    <s v="Retail"/>
    <s v="New"/>
    <x v="2"/>
    <x v="1"/>
    <x v="1"/>
    <m/>
  </r>
  <r>
    <d v="2024-11-23T02:29:30"/>
    <x v="3"/>
    <x v="3"/>
    <s v="Product B"/>
    <n v="121492"/>
    <n v="63330"/>
    <n v="90371"/>
    <x v="0"/>
    <s v="Wholesale"/>
    <s v="Returning"/>
    <x v="2"/>
    <x v="1"/>
    <x v="1"/>
    <m/>
  </r>
  <r>
    <d v="2024-11-25T02:21:38"/>
    <x v="3"/>
    <x v="5"/>
    <s v="Product C"/>
    <n v="77240"/>
    <n v="85369"/>
    <n v="34033"/>
    <x v="2"/>
    <s v="Wholesale"/>
    <s v="New"/>
    <x v="2"/>
    <x v="1"/>
    <x v="1"/>
    <m/>
  </r>
  <r>
    <d v="2024-11-27T02:13:46"/>
    <x v="3"/>
    <x v="4"/>
    <s v="Service Y"/>
    <n v="69315"/>
    <n v="27122"/>
    <n v="29000"/>
    <x v="2"/>
    <s v="Retail"/>
    <s v="Returning"/>
    <x v="2"/>
    <x v="1"/>
    <x v="1"/>
    <m/>
  </r>
  <r>
    <d v="2024-11-29T02:05:54"/>
    <x v="1"/>
    <x v="2"/>
    <s v="Service X"/>
    <n v="15756"/>
    <n v="72553"/>
    <n v="116032"/>
    <x v="0"/>
    <s v="Wholesale"/>
    <s v="New"/>
    <x v="2"/>
    <x v="1"/>
    <x v="1"/>
    <m/>
  </r>
  <r>
    <d v="2024-12-01T01:58:02"/>
    <x v="2"/>
    <x v="1"/>
    <s v="Service X"/>
    <n v="41378"/>
    <n v="83906"/>
    <n v="80868"/>
    <x v="2"/>
    <s v="Retail"/>
    <s v="New"/>
    <x v="2"/>
    <x v="1"/>
    <x v="1"/>
    <m/>
  </r>
  <r>
    <d v="2024-12-03T01:50:10"/>
    <x v="1"/>
    <x v="4"/>
    <s v="Service Y"/>
    <n v="140327"/>
    <n v="96788"/>
    <n v="47604"/>
    <x v="0"/>
    <s v="Online"/>
    <s v="Returning"/>
    <x v="2"/>
    <x v="1"/>
    <x v="1"/>
    <m/>
  </r>
  <r>
    <d v="2024-12-05T01:42:18"/>
    <x v="2"/>
    <x v="1"/>
    <s v="Product A"/>
    <n v="130703"/>
    <n v="64812"/>
    <n v="73336"/>
    <x v="0"/>
    <s v="Retail"/>
    <s v="New"/>
    <x v="2"/>
    <x v="1"/>
    <x v="1"/>
    <m/>
  </r>
  <r>
    <d v="2024-12-07T01:34:26"/>
    <x v="2"/>
    <x v="6"/>
    <s v="Product A"/>
    <n v="61549"/>
    <n v="9999"/>
    <n v="100074"/>
    <x v="0"/>
    <s v="Online"/>
    <s v="Returning"/>
    <x v="2"/>
    <x v="1"/>
    <x v="1"/>
    <m/>
  </r>
  <r>
    <d v="2024-12-09T01:26:33"/>
    <x v="3"/>
    <x v="3"/>
    <s v="Product C"/>
    <n v="78794"/>
    <n v="24436"/>
    <n v="100655"/>
    <x v="1"/>
    <s v="Online"/>
    <s v="New"/>
    <x v="2"/>
    <x v="1"/>
    <x v="1"/>
    <m/>
  </r>
  <r>
    <d v="2024-12-11T01:18:41"/>
    <x v="0"/>
    <x v="0"/>
    <s v="Product D"/>
    <n v="50113"/>
    <n v="44963"/>
    <n v="78869"/>
    <x v="2"/>
    <s v="Wholesale"/>
    <s v="Returning"/>
    <x v="2"/>
    <x v="1"/>
    <x v="1"/>
    <m/>
  </r>
  <r>
    <d v="2024-12-13T01:10:49"/>
    <x v="4"/>
    <x v="2"/>
    <s v="Product B"/>
    <n v="79069"/>
    <n v="4096"/>
    <n v="10410"/>
    <x v="3"/>
    <s v="Wholesale"/>
    <s v="New"/>
    <x v="2"/>
    <x v="1"/>
    <x v="1"/>
    <m/>
  </r>
  <r>
    <d v="2024-12-15T01:02:57"/>
    <x v="3"/>
    <x v="3"/>
    <s v="Product A"/>
    <n v="141321"/>
    <n v="27279"/>
    <n v="88375"/>
    <x v="3"/>
    <s v="Wholesale"/>
    <s v="New"/>
    <x v="2"/>
    <x v="1"/>
    <x v="1"/>
    <m/>
  </r>
  <r>
    <d v="2024-12-17T00:55:05"/>
    <x v="3"/>
    <x v="4"/>
    <s v="Service X"/>
    <n v="130541"/>
    <n v="28201"/>
    <n v="61044"/>
    <x v="2"/>
    <s v="Retail"/>
    <s v="Returning"/>
    <x v="2"/>
    <x v="1"/>
    <x v="1"/>
    <m/>
  </r>
  <r>
    <d v="2024-12-19T00:47:13"/>
    <x v="0"/>
    <x v="6"/>
    <s v="Product C"/>
    <n v="14686"/>
    <n v="21715"/>
    <n v="68315"/>
    <x v="0"/>
    <s v="Retail"/>
    <s v="New"/>
    <x v="2"/>
    <x v="1"/>
    <x v="1"/>
    <m/>
  </r>
  <r>
    <d v="2024-12-21T00:39:21"/>
    <x v="4"/>
    <x v="6"/>
    <s v="Product B"/>
    <n v="58363"/>
    <n v="31309"/>
    <n v="101055"/>
    <x v="3"/>
    <s v="Wholesale"/>
    <s v="New"/>
    <x v="2"/>
    <x v="1"/>
    <x v="1"/>
    <m/>
  </r>
  <r>
    <d v="2024-12-23T00:31:29"/>
    <x v="1"/>
    <x v="6"/>
    <s v="Product C"/>
    <n v="102543"/>
    <n v="17078"/>
    <n v="76344"/>
    <x v="3"/>
    <s v="Retail"/>
    <s v="New"/>
    <x v="2"/>
    <x v="1"/>
    <x v="1"/>
    <m/>
  </r>
  <r>
    <d v="2024-12-25T00:23:36"/>
    <x v="1"/>
    <x v="4"/>
    <s v="Product B"/>
    <n v="136733"/>
    <n v="58614"/>
    <n v="11796"/>
    <x v="2"/>
    <s v="Wholesale"/>
    <s v="New"/>
    <x v="2"/>
    <x v="1"/>
    <x v="1"/>
    <m/>
  </r>
  <r>
    <d v="2024-12-27T00:15:44"/>
    <x v="3"/>
    <x v="4"/>
    <s v="Product B"/>
    <n v="100673"/>
    <n v="7105"/>
    <n v="91716"/>
    <x v="3"/>
    <s v="Retail"/>
    <s v="New"/>
    <x v="2"/>
    <x v="1"/>
    <x v="1"/>
    <m/>
  </r>
  <r>
    <d v="2024-12-29T00:07:52"/>
    <x v="4"/>
    <x v="4"/>
    <s v="Service Y"/>
    <n v="47828"/>
    <n v="96848"/>
    <n v="59245"/>
    <x v="0"/>
    <s v="Online"/>
    <s v="New"/>
    <x v="2"/>
    <x v="1"/>
    <x v="1"/>
    <m/>
  </r>
  <r>
    <d v="2024-12-31T00:00:00"/>
    <x v="3"/>
    <x v="4"/>
    <s v="Product A"/>
    <n v="53604"/>
    <n v="4839"/>
    <n v="48056"/>
    <x v="2"/>
    <s v="Online"/>
    <s v="Returning"/>
    <x v="2"/>
    <x v="1"/>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32F1B0-2047-411B-8051-20FB4D42390A}"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5">
    <pivotField numFmtId="164" showAll="0"/>
    <pivotField showAll="0">
      <items count="6">
        <item x="1"/>
        <item x="0"/>
        <item x="3"/>
        <item x="2"/>
        <item x="4"/>
        <item t="default"/>
      </items>
    </pivotField>
    <pivotField showAll="0"/>
    <pivotField showAll="0"/>
    <pivotField showAll="0"/>
    <pivotField showAll="0"/>
    <pivotField showAll="0"/>
    <pivotField showAll="0">
      <items count="5">
        <item x="3"/>
        <item x="1"/>
        <item x="0"/>
        <item x="2"/>
        <item t="default"/>
      </items>
    </pivotField>
    <pivotField showAll="0"/>
    <pivotField showAll="0"/>
    <pivotField showAll="0">
      <items count="4">
        <item x="0"/>
        <item x="1"/>
        <item x="2"/>
        <item t="default"/>
      </items>
    </pivotField>
    <pivotField axis="axisRow" showAll="0" sortType="descending">
      <items count="3">
        <item x="1"/>
        <item x="0"/>
        <item t="default"/>
      </items>
    </pivotField>
    <pivotField axis="axisRow" showAll="0" sortType="descending">
      <items count="3">
        <item x="1"/>
        <item x="0"/>
        <item t="default"/>
      </items>
    </pivotField>
    <pivotField showAll="0"/>
    <pivotField dataField="1" dragToRow="0" dragToCol="0" dragToPage="0" showAll="0" defaultSubtotal="0"/>
  </pivotFields>
  <rowFields count="2">
    <field x="11"/>
    <field x="12"/>
  </rowFields>
  <rowItems count="5">
    <i>
      <x/>
    </i>
    <i r="1">
      <x/>
    </i>
    <i>
      <x v="1"/>
    </i>
    <i r="1">
      <x v="1"/>
    </i>
    <i t="grand">
      <x/>
    </i>
  </rowItems>
  <colItems count="1">
    <i/>
  </colItems>
  <dataFields count="1">
    <dataField name="Sum of profit" fld="14"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F6021D-58BC-48D3-8930-04DECA1648AA}"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5">
    <pivotField numFmtId="164" showAll="0"/>
    <pivotField showAll="0">
      <items count="6">
        <item x="1"/>
        <item x="0"/>
        <item x="3"/>
        <item x="2"/>
        <item x="4"/>
        <item t="default"/>
      </items>
    </pivotField>
    <pivotField axis="axisRow" showAll="0">
      <items count="8">
        <item x="3"/>
        <item x="6"/>
        <item x="1"/>
        <item x="0"/>
        <item x="2"/>
        <item x="4"/>
        <item x="5"/>
        <item t="default"/>
      </items>
    </pivotField>
    <pivotField showAll="0"/>
    <pivotField showAll="0"/>
    <pivotField dataField="1" showAll="0"/>
    <pivotField showAll="0"/>
    <pivotField showAll="0">
      <items count="5">
        <item x="3"/>
        <item x="1"/>
        <item x="0"/>
        <item x="2"/>
        <item t="default"/>
      </items>
    </pivotField>
    <pivotField showAll="0"/>
    <pivotField showAll="0"/>
    <pivotField showAll="0">
      <items count="4">
        <item x="0"/>
        <item x="1"/>
        <item x="2"/>
        <item t="default"/>
      </items>
    </pivotField>
    <pivotField showAll="0"/>
    <pivotField showAll="0"/>
    <pivotField showAll="0"/>
    <pivotField dragToRow="0" dragToCol="0" dragToPage="0" showAll="0" defaultSubtotal="0"/>
  </pivotFields>
  <rowFields count="1">
    <field x="2"/>
  </rowFields>
  <rowItems count="8">
    <i>
      <x/>
    </i>
    <i>
      <x v="1"/>
    </i>
    <i>
      <x v="2"/>
    </i>
    <i>
      <x v="3"/>
    </i>
    <i>
      <x v="4"/>
    </i>
    <i>
      <x v="5"/>
    </i>
    <i>
      <x v="6"/>
    </i>
    <i t="grand">
      <x/>
    </i>
  </rowItems>
  <colItems count="1">
    <i/>
  </colItems>
  <dataFields count="1">
    <dataField name="Sum of Expense" fld="5" baseField="0" baseItem="0"/>
  </dataFields>
  <chartFormats count="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3" format="6">
      <pivotArea type="data" outline="0" fieldPosition="0">
        <references count="2">
          <reference field="4294967294" count="1" selected="0">
            <x v="0"/>
          </reference>
          <reference field="2" count="1" selected="0">
            <x v="4"/>
          </reference>
        </references>
      </pivotArea>
    </chartFormat>
    <chartFormat chart="3" format="7">
      <pivotArea type="data" outline="0" fieldPosition="0">
        <references count="2">
          <reference field="4294967294" count="1" selected="0">
            <x v="0"/>
          </reference>
          <reference field="2" count="1" selected="0">
            <x v="5"/>
          </reference>
        </references>
      </pivotArea>
    </chartFormat>
    <chartFormat chart="3" format="8">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E83E82-4FA8-4E9C-B2B8-1A1DA5615DD0}"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5">
    <pivotField numFmtId="164" showAll="0"/>
    <pivotField axis="axisRow" showAll="0">
      <items count="6">
        <item x="1"/>
        <item x="0"/>
        <item x="3"/>
        <item x="2"/>
        <item x="4"/>
        <item t="default"/>
      </items>
    </pivotField>
    <pivotField showAll="0"/>
    <pivotField showAll="0"/>
    <pivotField dataField="1" showAll="0"/>
    <pivotField showAll="0"/>
    <pivotField showAll="0"/>
    <pivotField showAll="0">
      <items count="5">
        <item x="3"/>
        <item x="1"/>
        <item x="0"/>
        <item x="2"/>
        <item t="default"/>
      </items>
    </pivotField>
    <pivotField showAll="0"/>
    <pivotField showAll="0"/>
    <pivotField showAll="0">
      <items count="4">
        <item x="0"/>
        <item x="1"/>
        <item x="2"/>
        <item t="default"/>
      </items>
    </pivotField>
    <pivotField showAll="0"/>
    <pivotField showAll="0"/>
    <pivotField showAll="0"/>
    <pivotField dragToRow="0" dragToCol="0" dragToPage="0" showAll="0" defaultSubtotal="0"/>
  </pivotFields>
  <rowFields count="1">
    <field x="1"/>
  </rowFields>
  <rowItems count="6">
    <i>
      <x/>
    </i>
    <i>
      <x v="1"/>
    </i>
    <i>
      <x v="2"/>
    </i>
    <i>
      <x v="3"/>
    </i>
    <i>
      <x v="4"/>
    </i>
    <i t="grand">
      <x/>
    </i>
  </rowItems>
  <colItems count="1">
    <i/>
  </colItems>
  <dataFields count="1">
    <dataField name="Sum of Revenue" fld="4" baseField="0" baseItem="0"/>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0C66CF-BE23-4806-86FA-8ABB5FD3AFB4}" sourceName="Region">
  <pivotTables>
    <pivotTable tabId="6" name="PivotTable2"/>
    <pivotTable tabId="2" name="PivotTable1"/>
    <pivotTable tabId="7" name="PivotTable3"/>
  </pivotTables>
  <data>
    <tabular pivotCacheId="15961511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116BF25-0771-497D-955C-08BE0A302DF5}" sourceName="Department">
  <pivotTables>
    <pivotTable tabId="6" name="PivotTable2"/>
    <pivotTable tabId="2" name="PivotTable1"/>
    <pivotTable tabId="7" name="PivotTable3"/>
  </pivotTables>
  <data>
    <tabular pivotCacheId="159615111">
      <items count="5">
        <i x="1" s="1"/>
        <i x="0"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5252991-BBCE-41F7-9678-39DE64B0BBBD}" sourceName="year">
  <pivotTables>
    <pivotTable tabId="6" name="PivotTable2"/>
    <pivotTable tabId="2" name="PivotTable1"/>
    <pivotTable tabId="7" name="PivotTable3"/>
  </pivotTables>
  <data>
    <tabular pivotCacheId="15961511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E2863E-9F68-4BAB-89BD-094F847275D9}" cache="Slicer_Region" caption="Region" rowHeight="234950"/>
  <slicer name="Department" xr10:uid="{B2B28652-3CCB-4279-AADB-8501CEA902DF}" cache="Slicer_Department" caption="Department" rowHeight="234950"/>
  <slicer name="year" xr10:uid="{E9E4D797-33CE-47B7-929F-D6E841D86536}"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BACD60-F876-4D9B-99E4-D4B07C8570B8}" name="Table2" displayName="Table2" ref="A3:N4" totalsRowShown="0">
  <autoFilter ref="A3:N4" xr:uid="{6EBACD60-F876-4D9B-99E4-D4B07C8570B8}"/>
  <tableColumns count="14">
    <tableColumn id="1" xr3:uid="{5203167F-5D51-4758-802B-EB835C8924FE}" name="Date" dataDxfId="1"/>
    <tableColumn id="2" xr3:uid="{4C31F201-F306-49C9-B0BB-D9F91BC86B98}" name="Department"/>
    <tableColumn id="3" xr3:uid="{8C669CB1-8626-4607-A4F3-067403856594}" name="Category"/>
    <tableColumn id="4" xr3:uid="{43E5F06E-6298-413D-88FD-336182C46D73}" name="Product/Service"/>
    <tableColumn id="5" xr3:uid="{54C8A506-E7A3-4F21-A3DD-11B965C83EBF}" name="Revenue"/>
    <tableColumn id="6" xr3:uid="{2CB5E907-E6B0-4007-AEF7-A91A12F601D3}" name="Expense"/>
    <tableColumn id="7" xr3:uid="{5C4B4C16-BCBB-4D54-985A-7C04A744E645}" name="Budget"/>
    <tableColumn id="8" xr3:uid="{0B758CDD-4948-4A99-97CF-014AD41369F4}" name="Region"/>
    <tableColumn id="9" xr3:uid="{D0499EA5-1751-41BF-8B22-8A9EA2D30766}" name="Channel"/>
    <tableColumn id="10" xr3:uid="{80499B5A-3541-4079-88B6-36EF177B450C}" name="Customer Type"/>
    <tableColumn id="11" xr3:uid="{B9D69E1A-F230-4AB3-A223-2E0C0BD7A859}" name="year"/>
    <tableColumn id="12" xr3:uid="{E86E2F32-E84D-4E92-A0EA-DD3E60670A30}" name="month"/>
    <tableColumn id="13" xr3:uid="{BBA137B0-6261-4514-8FD6-6BBF3F0DE1F5}" name="monthnum"/>
    <tableColumn id="14" xr3:uid="{3037A377-7219-4C9E-9EC4-0E611A57AD1F}" name="quarte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BED118-CDA1-4344-8894-AA2001A22FD3}" name="financeData" displayName="financeData" ref="A1:N551" totalsRowShown="0" headerRowDxfId="2">
  <autoFilter ref="A1:N551" xr:uid="{8EBED118-CDA1-4344-8894-AA2001A22FD3}"/>
  <tableColumns count="14">
    <tableColumn id="1" xr3:uid="{C2770730-B8C7-44B9-A8D5-378C72D6A522}" name="Date" dataDxfId="3"/>
    <tableColumn id="2" xr3:uid="{EBA35421-384A-44A8-832A-4ADAE8201360}" name="Department"/>
    <tableColumn id="3" xr3:uid="{28536453-A118-4D4E-9077-A0B5E1A8E8C5}" name="Category"/>
    <tableColumn id="4" xr3:uid="{BC873954-AF16-4CCB-A0E8-E90D88BBF021}" name="Product/Service"/>
    <tableColumn id="5" xr3:uid="{3A7AE03C-DC98-46AA-BF76-9683BA7BF31F}" name="Revenue"/>
    <tableColumn id="6" xr3:uid="{A1E955D5-B53E-47C6-A00A-8D7FDD668A6A}" name="Expense"/>
    <tableColumn id="7" xr3:uid="{3AABDD2E-9789-4C81-9EED-A0B468E7DF83}" name="Budget"/>
    <tableColumn id="8" xr3:uid="{0B586C2C-268C-427F-9219-FC8046F717FB}" name="Region"/>
    <tableColumn id="9" xr3:uid="{417254FC-1273-4216-B167-246FB72A0319}" name="Channel"/>
    <tableColumn id="10" xr3:uid="{1BA8205F-DC7E-4F97-82A7-CA426D9C9753}" name="Customer Type"/>
    <tableColumn id="11" xr3:uid="{2E7931AD-12B6-4E64-821E-B21B77F2AFB0}" name="year" dataDxfId="0">
      <calculatedColumnFormula>YEAR(financeData[[#This Row],[Date]])</calculatedColumnFormula>
    </tableColumn>
    <tableColumn id="12" xr3:uid="{1495AF5F-2FF8-4493-8374-9E0B57104EFF}" name="month"/>
    <tableColumn id="13" xr3:uid="{3D2B6D26-824E-4196-9F7D-A6AEC67C35A0}" name="monthnum"/>
    <tableColumn id="14" xr3:uid="{CCD39DF6-E825-43DD-BC24-4724195F2B1C}" name="quart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A7381-BE8D-4E78-9BDD-3587CEB52C54}">
  <dimension ref="A1:N4"/>
  <sheetViews>
    <sheetView workbookViewId="0">
      <selection activeCell="A3" sqref="A3:N4"/>
    </sheetView>
  </sheetViews>
  <sheetFormatPr defaultRowHeight="14.4" x14ac:dyDescent="0.3"/>
  <cols>
    <col min="1" max="1" width="10.33203125" bestFit="1" customWidth="1"/>
    <col min="2" max="2" width="13.33203125" bestFit="1" customWidth="1"/>
    <col min="3" max="3" width="10.77734375" bestFit="1" customWidth="1"/>
    <col min="4" max="4" width="16.88671875" bestFit="1" customWidth="1"/>
    <col min="5" max="5" width="10.5546875" bestFit="1" customWidth="1"/>
    <col min="6" max="6" width="10.109375" bestFit="1" customWidth="1"/>
    <col min="7" max="7" width="9.21875" bestFit="1" customWidth="1"/>
    <col min="8" max="8" width="9" bestFit="1" customWidth="1"/>
    <col min="9" max="9" width="10.109375" bestFit="1" customWidth="1"/>
    <col min="10" max="10" width="16" bestFit="1" customWidth="1"/>
    <col min="11" max="12" width="9" bestFit="1" customWidth="1"/>
    <col min="13" max="13" width="12.77734375" bestFit="1" customWidth="1"/>
    <col min="14" max="14" width="9.44140625" bestFit="1" customWidth="1"/>
  </cols>
  <sheetData>
    <row r="1" spans="1:14" x14ac:dyDescent="0.3">
      <c r="A1" s="3" t="s">
        <v>49</v>
      </c>
    </row>
    <row r="3" spans="1:14" x14ac:dyDescent="0.3">
      <c r="A3" t="s">
        <v>0</v>
      </c>
      <c r="B3" t="s">
        <v>1</v>
      </c>
      <c r="C3" t="s">
        <v>2</v>
      </c>
      <c r="D3" t="s">
        <v>3</v>
      </c>
      <c r="E3" t="s">
        <v>4</v>
      </c>
      <c r="F3" t="s">
        <v>5</v>
      </c>
      <c r="G3" t="s">
        <v>6</v>
      </c>
      <c r="H3" t="s">
        <v>7</v>
      </c>
      <c r="I3" t="s">
        <v>8</v>
      </c>
      <c r="J3" t="s">
        <v>9</v>
      </c>
      <c r="K3" t="s">
        <v>37</v>
      </c>
      <c r="L3" t="s">
        <v>38</v>
      </c>
      <c r="M3" t="s">
        <v>39</v>
      </c>
      <c r="N3" t="s">
        <v>40</v>
      </c>
    </row>
    <row r="4" spans="1:14" x14ac:dyDescent="0.3">
      <c r="A4" s="8">
        <v>44562</v>
      </c>
      <c r="B4" t="s">
        <v>10</v>
      </c>
      <c r="C4" t="s">
        <v>15</v>
      </c>
      <c r="D4" t="s">
        <v>22</v>
      </c>
      <c r="E4">
        <v>117855</v>
      </c>
      <c r="F4">
        <v>12526</v>
      </c>
      <c r="G4">
        <v>73920</v>
      </c>
      <c r="H4" t="s">
        <v>28</v>
      </c>
      <c r="I4" t="s">
        <v>32</v>
      </c>
      <c r="J4" t="s">
        <v>35</v>
      </c>
      <c r="K4">
        <v>2022</v>
      </c>
      <c r="L4" t="s">
        <v>44</v>
      </c>
      <c r="M4">
        <v>1</v>
      </c>
      <c r="N4" t="s">
        <v>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2A8CB-44BB-4E31-A5C2-C5CDD99A1FC2}">
  <dimension ref="A3:B8"/>
  <sheetViews>
    <sheetView workbookViewId="0">
      <selection activeCell="B5" sqref="B5"/>
    </sheetView>
  </sheetViews>
  <sheetFormatPr defaultRowHeight="14.4" x14ac:dyDescent="0.3"/>
  <cols>
    <col min="1" max="1" width="12.5546875" bestFit="1" customWidth="1"/>
    <col min="2" max="5" width="12.109375" bestFit="1" customWidth="1"/>
  </cols>
  <sheetData>
    <row r="3" spans="1:2" x14ac:dyDescent="0.3">
      <c r="A3" s="4" t="s">
        <v>41</v>
      </c>
      <c r="B3" t="s">
        <v>47</v>
      </c>
    </row>
    <row r="4" spans="1:2" x14ac:dyDescent="0.3">
      <c r="A4" s="5" t="s">
        <v>42</v>
      </c>
      <c r="B4" s="7">
        <v>15065880</v>
      </c>
    </row>
    <row r="5" spans="1:2" x14ac:dyDescent="0.3">
      <c r="A5" s="6" t="s">
        <v>42</v>
      </c>
      <c r="B5" s="7">
        <v>15065880</v>
      </c>
    </row>
    <row r="6" spans="1:2" x14ac:dyDescent="0.3">
      <c r="A6" s="5" t="s">
        <v>44</v>
      </c>
      <c r="B6" s="7">
        <v>105329</v>
      </c>
    </row>
    <row r="7" spans="1:2" x14ac:dyDescent="0.3">
      <c r="A7" s="6">
        <v>1</v>
      </c>
      <c r="B7" s="7">
        <v>105329</v>
      </c>
    </row>
    <row r="8" spans="1:2" x14ac:dyDescent="0.3">
      <c r="A8" s="5" t="s">
        <v>43</v>
      </c>
      <c r="B8" s="7">
        <v>15171209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41FFD-FEB3-4F6C-B320-59B71FE050DA}">
  <dimension ref="B1:H14"/>
  <sheetViews>
    <sheetView showGridLines="0" tabSelected="1" workbookViewId="0">
      <selection activeCell="G12" sqref="G12"/>
    </sheetView>
  </sheetViews>
  <sheetFormatPr defaultRowHeight="14.4" x14ac:dyDescent="0.3"/>
  <cols>
    <col min="2" max="2" width="17.44140625" customWidth="1"/>
    <col min="3" max="3" width="15.33203125" customWidth="1"/>
    <col min="4" max="4" width="16.44140625" customWidth="1"/>
    <col min="5" max="5" width="17" customWidth="1"/>
    <col min="6" max="6" width="17.33203125" customWidth="1"/>
    <col min="7" max="7" width="11.88671875" customWidth="1"/>
    <col min="8" max="8" width="28.5546875" customWidth="1"/>
  </cols>
  <sheetData>
    <row r="1" spans="2:8" ht="18" x14ac:dyDescent="0.35">
      <c r="B1" s="9"/>
      <c r="D1" s="9"/>
      <c r="F1" s="9"/>
      <c r="H1" s="9"/>
    </row>
    <row r="2" spans="2:8" ht="18" x14ac:dyDescent="0.35">
      <c r="B2" s="10" t="s">
        <v>50</v>
      </c>
      <c r="C2" s="10" t="s">
        <v>51</v>
      </c>
      <c r="D2" s="10" t="s">
        <v>52</v>
      </c>
      <c r="E2" s="10" t="s">
        <v>53</v>
      </c>
    </row>
    <row r="3" spans="2:8" x14ac:dyDescent="0.3">
      <c r="B3" s="13">
        <f>SUM(financeData[Revenue])</f>
        <v>43488748</v>
      </c>
      <c r="C3" s="13">
        <f>SUM(financeData[Expense])</f>
        <v>28317539</v>
      </c>
      <c r="D3" s="13">
        <f>B3 - C3</f>
        <v>15171209</v>
      </c>
      <c r="E3" s="13">
        <f>D3/ B3</f>
        <v>0.34885366210128654</v>
      </c>
    </row>
    <row r="4" spans="2:8" x14ac:dyDescent="0.3">
      <c r="B4" s="11"/>
      <c r="C4" s="12"/>
      <c r="D4" s="12"/>
      <c r="E4" s="12"/>
    </row>
    <row r="14" spans="2:8" ht="18" x14ac:dyDescent="0.35">
      <c r="G14"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77E81-D44F-4BC2-B62A-4C46ECBA95CF}">
  <dimension ref="A3:B11"/>
  <sheetViews>
    <sheetView workbookViewId="0">
      <selection activeCell="G9" sqref="G9"/>
    </sheetView>
  </sheetViews>
  <sheetFormatPr defaultRowHeight="14.4" x14ac:dyDescent="0.3"/>
  <cols>
    <col min="1" max="1" width="12.5546875" bestFit="1" customWidth="1"/>
    <col min="2" max="2" width="14.44140625" bestFit="1" customWidth="1"/>
  </cols>
  <sheetData>
    <row r="3" spans="1:2" x14ac:dyDescent="0.3">
      <c r="A3" s="4" t="s">
        <v>41</v>
      </c>
      <c r="B3" t="s">
        <v>46</v>
      </c>
    </row>
    <row r="4" spans="1:2" x14ac:dyDescent="0.3">
      <c r="A4" s="5" t="s">
        <v>18</v>
      </c>
      <c r="B4" s="7">
        <v>4046085</v>
      </c>
    </row>
    <row r="5" spans="1:2" x14ac:dyDescent="0.3">
      <c r="A5" s="5" t="s">
        <v>21</v>
      </c>
      <c r="B5" s="7">
        <v>3771070</v>
      </c>
    </row>
    <row r="6" spans="1:2" x14ac:dyDescent="0.3">
      <c r="A6" s="5" t="s">
        <v>16</v>
      </c>
      <c r="B6" s="7">
        <v>4041901</v>
      </c>
    </row>
    <row r="7" spans="1:2" x14ac:dyDescent="0.3">
      <c r="A7" s="5" t="s">
        <v>15</v>
      </c>
      <c r="B7" s="7">
        <v>4084869</v>
      </c>
    </row>
    <row r="8" spans="1:2" x14ac:dyDescent="0.3">
      <c r="A8" s="5" t="s">
        <v>17</v>
      </c>
      <c r="B8" s="7">
        <v>4462434</v>
      </c>
    </row>
    <row r="9" spans="1:2" x14ac:dyDescent="0.3">
      <c r="A9" s="5" t="s">
        <v>19</v>
      </c>
      <c r="B9" s="7">
        <v>4083281</v>
      </c>
    </row>
    <row r="10" spans="1:2" x14ac:dyDescent="0.3">
      <c r="A10" s="5" t="s">
        <v>20</v>
      </c>
      <c r="B10" s="7">
        <v>3827899</v>
      </c>
    </row>
    <row r="11" spans="1:2" x14ac:dyDescent="0.3">
      <c r="A11" s="5" t="s">
        <v>43</v>
      </c>
      <c r="B11" s="7">
        <v>28317539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06857-F591-4473-8247-B44AD7490004}">
  <dimension ref="A3:B9"/>
  <sheetViews>
    <sheetView workbookViewId="0">
      <selection activeCell="B7" sqref="B7"/>
    </sheetView>
  </sheetViews>
  <sheetFormatPr defaultRowHeight="14.4" x14ac:dyDescent="0.3"/>
  <cols>
    <col min="1" max="1" width="12.5546875" bestFit="1" customWidth="1"/>
    <col min="2" max="2" width="14.88671875" bestFit="1" customWidth="1"/>
  </cols>
  <sheetData>
    <row r="3" spans="1:2" x14ac:dyDescent="0.3">
      <c r="A3" s="4" t="s">
        <v>41</v>
      </c>
      <c r="B3" t="s">
        <v>45</v>
      </c>
    </row>
    <row r="4" spans="1:2" x14ac:dyDescent="0.3">
      <c r="A4" s="5" t="s">
        <v>11</v>
      </c>
      <c r="B4" s="7">
        <v>8242169</v>
      </c>
    </row>
    <row r="5" spans="1:2" x14ac:dyDescent="0.3">
      <c r="A5" s="5" t="s">
        <v>10</v>
      </c>
      <c r="B5" s="7">
        <v>9923050</v>
      </c>
    </row>
    <row r="6" spans="1:2" x14ac:dyDescent="0.3">
      <c r="A6" s="5" t="s">
        <v>13</v>
      </c>
      <c r="B6" s="7">
        <v>8965404</v>
      </c>
    </row>
    <row r="7" spans="1:2" x14ac:dyDescent="0.3">
      <c r="A7" s="5" t="s">
        <v>12</v>
      </c>
      <c r="B7" s="7">
        <v>7576890</v>
      </c>
    </row>
    <row r="8" spans="1:2" x14ac:dyDescent="0.3">
      <c r="A8" s="5" t="s">
        <v>14</v>
      </c>
      <c r="B8" s="7">
        <v>8781235</v>
      </c>
    </row>
    <row r="9" spans="1:2" x14ac:dyDescent="0.3">
      <c r="A9" s="5" t="s">
        <v>43</v>
      </c>
      <c r="B9" s="7">
        <v>43488748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51"/>
  <sheetViews>
    <sheetView workbookViewId="0">
      <selection activeCell="K3" sqref="K3"/>
    </sheetView>
  </sheetViews>
  <sheetFormatPr defaultRowHeight="14.4" x14ac:dyDescent="0.3"/>
  <cols>
    <col min="2" max="2" width="14.33203125" customWidth="1"/>
    <col min="3" max="3" width="10.44140625" customWidth="1"/>
    <col min="4" max="4" width="16.44140625" customWidth="1"/>
    <col min="5" max="5" width="10.21875" customWidth="1"/>
    <col min="6" max="6" width="9.77734375" customWidth="1"/>
    <col min="9" max="9" width="9.77734375" customWidth="1"/>
    <col min="10" max="10" width="15.5546875" customWidth="1"/>
    <col min="13" max="13" width="12.44140625" customWidth="1"/>
    <col min="14" max="14" width="9.109375" customWidth="1"/>
  </cols>
  <sheetData>
    <row r="1" spans="1:14" x14ac:dyDescent="0.3">
      <c r="A1" s="1" t="s">
        <v>0</v>
      </c>
      <c r="B1" s="1" t="s">
        <v>1</v>
      </c>
      <c r="C1" s="1" t="s">
        <v>2</v>
      </c>
      <c r="D1" s="1" t="s">
        <v>3</v>
      </c>
      <c r="E1" s="1" t="s">
        <v>4</v>
      </c>
      <c r="F1" s="1" t="s">
        <v>5</v>
      </c>
      <c r="G1" s="1" t="s">
        <v>6</v>
      </c>
      <c r="H1" s="1" t="s">
        <v>7</v>
      </c>
      <c r="I1" s="1" t="s">
        <v>8</v>
      </c>
      <c r="J1" s="1" t="s">
        <v>9</v>
      </c>
      <c r="K1" s="3" t="s">
        <v>37</v>
      </c>
      <c r="L1" s="3" t="s">
        <v>38</v>
      </c>
      <c r="M1" s="3" t="s">
        <v>39</v>
      </c>
      <c r="N1" s="3" t="s">
        <v>40</v>
      </c>
    </row>
    <row r="2" spans="1:14" x14ac:dyDescent="0.3">
      <c r="A2" s="2">
        <v>44562</v>
      </c>
      <c r="B2" t="s">
        <v>10</v>
      </c>
      <c r="C2" t="s">
        <v>15</v>
      </c>
      <c r="D2" t="s">
        <v>22</v>
      </c>
      <c r="E2">
        <v>117855</v>
      </c>
      <c r="F2">
        <v>12526</v>
      </c>
      <c r="G2">
        <v>73920</v>
      </c>
      <c r="H2" t="s">
        <v>28</v>
      </c>
      <c r="I2" t="s">
        <v>32</v>
      </c>
      <c r="J2" t="s">
        <v>35</v>
      </c>
      <c r="K2">
        <f>YEAR(financeData[[#This Row],[Date]])</f>
        <v>2022</v>
      </c>
      <c r="L2" t="str">
        <f>TEXT(A2,"MMMM")</f>
        <v>January</v>
      </c>
      <c r="M2">
        <f>MONTH(A2)</f>
        <v>1</v>
      </c>
      <c r="N2" t="str">
        <f>"Q"&amp;INT((MONTH(A2)-1)/3)+1</f>
        <v>Q1</v>
      </c>
    </row>
    <row r="3" spans="1:14" x14ac:dyDescent="0.3">
      <c r="A3" s="2">
        <v>44563.994535519123</v>
      </c>
      <c r="B3" t="s">
        <v>11</v>
      </c>
      <c r="C3" t="s">
        <v>16</v>
      </c>
      <c r="D3" t="s">
        <v>23</v>
      </c>
      <c r="E3">
        <v>12906</v>
      </c>
      <c r="F3">
        <v>70910</v>
      </c>
      <c r="G3">
        <v>48619</v>
      </c>
      <c r="H3" t="s">
        <v>29</v>
      </c>
      <c r="I3" t="s">
        <v>33</v>
      </c>
      <c r="J3" t="s">
        <v>36</v>
      </c>
      <c r="K3">
        <f>YEAR(financeData[[#This Row],[Date]])</f>
        <v>2022</v>
      </c>
    </row>
    <row r="4" spans="1:14" x14ac:dyDescent="0.3">
      <c r="A4" s="2">
        <v>44565.989071038239</v>
      </c>
      <c r="B4" t="s">
        <v>12</v>
      </c>
      <c r="C4" t="s">
        <v>16</v>
      </c>
      <c r="D4" t="s">
        <v>24</v>
      </c>
      <c r="E4">
        <v>66413</v>
      </c>
      <c r="F4">
        <v>27592</v>
      </c>
      <c r="G4">
        <v>47821</v>
      </c>
      <c r="H4" t="s">
        <v>28</v>
      </c>
      <c r="I4" t="s">
        <v>33</v>
      </c>
      <c r="J4" t="s">
        <v>36</v>
      </c>
      <c r="K4">
        <f>YEAR(financeData[[#This Row],[Date]])</f>
        <v>2022</v>
      </c>
    </row>
    <row r="5" spans="1:14" x14ac:dyDescent="0.3">
      <c r="A5" s="2">
        <v>44567.983606557369</v>
      </c>
      <c r="B5" t="s">
        <v>11</v>
      </c>
      <c r="C5" t="s">
        <v>17</v>
      </c>
      <c r="D5" t="s">
        <v>25</v>
      </c>
      <c r="E5">
        <v>59028</v>
      </c>
      <c r="F5">
        <v>30982</v>
      </c>
      <c r="G5">
        <v>18493</v>
      </c>
      <c r="H5" t="s">
        <v>30</v>
      </c>
      <c r="I5" t="s">
        <v>32</v>
      </c>
      <c r="J5" t="s">
        <v>36</v>
      </c>
      <c r="K5">
        <f>YEAR(financeData[[#This Row],[Date]])</f>
        <v>2022</v>
      </c>
    </row>
    <row r="6" spans="1:14" x14ac:dyDescent="0.3">
      <c r="A6" s="2">
        <v>44569.978142076492</v>
      </c>
      <c r="B6" t="s">
        <v>11</v>
      </c>
      <c r="C6" t="s">
        <v>17</v>
      </c>
      <c r="D6" t="s">
        <v>25</v>
      </c>
      <c r="E6">
        <v>12287</v>
      </c>
      <c r="F6">
        <v>2207</v>
      </c>
      <c r="G6">
        <v>22069</v>
      </c>
      <c r="H6" t="s">
        <v>31</v>
      </c>
      <c r="I6" t="s">
        <v>34</v>
      </c>
      <c r="J6" t="s">
        <v>35</v>
      </c>
      <c r="K6">
        <f>YEAR(financeData[[#This Row],[Date]])</f>
        <v>2022</v>
      </c>
    </row>
    <row r="7" spans="1:14" x14ac:dyDescent="0.3">
      <c r="A7" s="2">
        <v>44571.972677595622</v>
      </c>
      <c r="B7" t="s">
        <v>13</v>
      </c>
      <c r="C7" t="s">
        <v>17</v>
      </c>
      <c r="D7" t="s">
        <v>23</v>
      </c>
      <c r="E7">
        <v>38660</v>
      </c>
      <c r="F7">
        <v>90733</v>
      </c>
      <c r="G7">
        <v>117443</v>
      </c>
      <c r="H7" t="s">
        <v>30</v>
      </c>
      <c r="I7" t="s">
        <v>33</v>
      </c>
      <c r="J7" t="s">
        <v>35</v>
      </c>
      <c r="K7">
        <f>YEAR(financeData[[#This Row],[Date]])</f>
        <v>2022</v>
      </c>
    </row>
    <row r="8" spans="1:14" x14ac:dyDescent="0.3">
      <c r="A8" s="2">
        <v>44573.967213114753</v>
      </c>
      <c r="B8" t="s">
        <v>12</v>
      </c>
      <c r="C8" t="s">
        <v>18</v>
      </c>
      <c r="D8" t="s">
        <v>23</v>
      </c>
      <c r="E8">
        <v>65504</v>
      </c>
      <c r="F8">
        <v>70619</v>
      </c>
      <c r="G8">
        <v>12531</v>
      </c>
      <c r="H8" t="s">
        <v>30</v>
      </c>
      <c r="I8" t="s">
        <v>34</v>
      </c>
      <c r="J8" t="s">
        <v>36</v>
      </c>
      <c r="K8">
        <f>YEAR(financeData[[#This Row],[Date]])</f>
        <v>2022</v>
      </c>
    </row>
    <row r="9" spans="1:14" x14ac:dyDescent="0.3">
      <c r="A9" s="2">
        <v>44575.961748633883</v>
      </c>
      <c r="B9" t="s">
        <v>12</v>
      </c>
      <c r="C9" t="s">
        <v>15</v>
      </c>
      <c r="D9" t="s">
        <v>25</v>
      </c>
      <c r="E9">
        <v>107979</v>
      </c>
      <c r="F9">
        <v>31328</v>
      </c>
      <c r="G9">
        <v>42051</v>
      </c>
      <c r="H9" t="s">
        <v>29</v>
      </c>
      <c r="I9" t="s">
        <v>33</v>
      </c>
      <c r="J9" t="s">
        <v>36</v>
      </c>
      <c r="K9">
        <f>YEAR(financeData[[#This Row],[Date]])</f>
        <v>2022</v>
      </c>
    </row>
    <row r="10" spans="1:14" x14ac:dyDescent="0.3">
      <c r="A10" s="2">
        <v>44577.956284152999</v>
      </c>
      <c r="B10" t="s">
        <v>12</v>
      </c>
      <c r="C10" t="s">
        <v>17</v>
      </c>
      <c r="D10" t="s">
        <v>25</v>
      </c>
      <c r="E10">
        <v>39701</v>
      </c>
      <c r="F10">
        <v>48479</v>
      </c>
      <c r="G10">
        <v>12736</v>
      </c>
      <c r="H10" t="s">
        <v>28</v>
      </c>
      <c r="I10" t="s">
        <v>34</v>
      </c>
      <c r="J10" t="s">
        <v>36</v>
      </c>
      <c r="K10">
        <f>YEAR(financeData[[#This Row],[Date]])</f>
        <v>2022</v>
      </c>
    </row>
    <row r="11" spans="1:14" x14ac:dyDescent="0.3">
      <c r="A11" s="2">
        <v>44579.950819672129</v>
      </c>
      <c r="B11" t="s">
        <v>11</v>
      </c>
      <c r="C11" t="s">
        <v>19</v>
      </c>
      <c r="D11" t="s">
        <v>22</v>
      </c>
      <c r="E11">
        <v>88300</v>
      </c>
      <c r="F11">
        <v>22103</v>
      </c>
      <c r="G11">
        <v>12710</v>
      </c>
      <c r="H11" t="s">
        <v>31</v>
      </c>
      <c r="I11" t="s">
        <v>34</v>
      </c>
      <c r="J11" t="s">
        <v>35</v>
      </c>
      <c r="K11">
        <f>YEAR(financeData[[#This Row],[Date]])</f>
        <v>2022</v>
      </c>
    </row>
    <row r="12" spans="1:14" x14ac:dyDescent="0.3">
      <c r="A12" s="2">
        <v>44581.945355191252</v>
      </c>
      <c r="B12" t="s">
        <v>10</v>
      </c>
      <c r="C12" t="s">
        <v>18</v>
      </c>
      <c r="D12" t="s">
        <v>26</v>
      </c>
      <c r="E12">
        <v>88560</v>
      </c>
      <c r="F12">
        <v>41891</v>
      </c>
      <c r="G12">
        <v>72155</v>
      </c>
      <c r="H12" t="s">
        <v>29</v>
      </c>
      <c r="I12" t="s">
        <v>34</v>
      </c>
      <c r="J12" t="s">
        <v>35</v>
      </c>
      <c r="K12">
        <f>YEAR(financeData[[#This Row],[Date]])</f>
        <v>2022</v>
      </c>
    </row>
    <row r="13" spans="1:14" x14ac:dyDescent="0.3">
      <c r="A13" s="2">
        <v>44583.939890710382</v>
      </c>
      <c r="B13" t="s">
        <v>12</v>
      </c>
      <c r="C13" t="s">
        <v>20</v>
      </c>
      <c r="D13" t="s">
        <v>24</v>
      </c>
      <c r="E13">
        <v>48642</v>
      </c>
      <c r="F13">
        <v>12754</v>
      </c>
      <c r="G13">
        <v>18975</v>
      </c>
      <c r="H13" t="s">
        <v>29</v>
      </c>
      <c r="I13" t="s">
        <v>32</v>
      </c>
      <c r="J13" t="s">
        <v>35</v>
      </c>
      <c r="K13">
        <f>YEAR(financeData[[#This Row],[Date]])</f>
        <v>2022</v>
      </c>
    </row>
    <row r="14" spans="1:14" x14ac:dyDescent="0.3">
      <c r="A14" s="2">
        <v>44585.934426229513</v>
      </c>
      <c r="B14" t="s">
        <v>11</v>
      </c>
      <c r="C14" t="s">
        <v>19</v>
      </c>
      <c r="D14" t="s">
        <v>27</v>
      </c>
      <c r="E14">
        <v>70160</v>
      </c>
      <c r="F14">
        <v>83437</v>
      </c>
      <c r="G14">
        <v>67424</v>
      </c>
      <c r="H14" t="s">
        <v>29</v>
      </c>
      <c r="I14" t="s">
        <v>34</v>
      </c>
      <c r="J14" t="s">
        <v>35</v>
      </c>
      <c r="K14">
        <f>YEAR(financeData[[#This Row],[Date]])</f>
        <v>2022</v>
      </c>
    </row>
    <row r="15" spans="1:14" x14ac:dyDescent="0.3">
      <c r="A15" s="2">
        <v>44587.928961748621</v>
      </c>
      <c r="B15" t="s">
        <v>13</v>
      </c>
      <c r="C15" t="s">
        <v>21</v>
      </c>
      <c r="D15" t="s">
        <v>26</v>
      </c>
      <c r="E15">
        <v>22602</v>
      </c>
      <c r="F15">
        <v>74982</v>
      </c>
      <c r="G15">
        <v>50603</v>
      </c>
      <c r="H15" t="s">
        <v>30</v>
      </c>
      <c r="I15" t="s">
        <v>34</v>
      </c>
      <c r="J15" t="s">
        <v>35</v>
      </c>
      <c r="K15">
        <f>YEAR(financeData[[#This Row],[Date]])</f>
        <v>2022</v>
      </c>
    </row>
    <row r="16" spans="1:14" x14ac:dyDescent="0.3">
      <c r="A16" s="2">
        <v>44589.923497267751</v>
      </c>
      <c r="B16" t="s">
        <v>10</v>
      </c>
      <c r="C16" t="s">
        <v>21</v>
      </c>
      <c r="D16" t="s">
        <v>23</v>
      </c>
      <c r="E16">
        <v>108320</v>
      </c>
      <c r="F16">
        <v>57922</v>
      </c>
      <c r="G16">
        <v>28252</v>
      </c>
      <c r="H16" t="s">
        <v>28</v>
      </c>
      <c r="I16" t="s">
        <v>34</v>
      </c>
      <c r="J16" t="s">
        <v>36</v>
      </c>
      <c r="K16">
        <f>YEAR(financeData[[#This Row],[Date]])</f>
        <v>2022</v>
      </c>
    </row>
    <row r="17" spans="1:11" x14ac:dyDescent="0.3">
      <c r="A17" s="2">
        <v>44591.918032786867</v>
      </c>
      <c r="B17" t="s">
        <v>13</v>
      </c>
      <c r="C17" t="s">
        <v>19</v>
      </c>
      <c r="D17" t="s">
        <v>25</v>
      </c>
      <c r="E17">
        <v>93801</v>
      </c>
      <c r="F17">
        <v>50231</v>
      </c>
      <c r="G17">
        <v>85797</v>
      </c>
      <c r="H17" t="s">
        <v>28</v>
      </c>
      <c r="I17" t="s">
        <v>33</v>
      </c>
      <c r="J17" t="s">
        <v>35</v>
      </c>
      <c r="K17">
        <f>YEAR(financeData[[#This Row],[Date]])</f>
        <v>2022</v>
      </c>
    </row>
    <row r="18" spans="1:11" x14ac:dyDescent="0.3">
      <c r="A18" s="2">
        <v>44593.912568305997</v>
      </c>
      <c r="B18" t="s">
        <v>10</v>
      </c>
      <c r="C18" t="s">
        <v>17</v>
      </c>
      <c r="D18" t="s">
        <v>26</v>
      </c>
      <c r="E18">
        <v>30931</v>
      </c>
      <c r="F18">
        <v>31301</v>
      </c>
      <c r="G18">
        <v>6431</v>
      </c>
      <c r="H18" t="s">
        <v>31</v>
      </c>
      <c r="I18" t="s">
        <v>34</v>
      </c>
      <c r="J18" t="s">
        <v>35</v>
      </c>
      <c r="K18">
        <f>YEAR(financeData[[#This Row],[Date]])</f>
        <v>2022</v>
      </c>
    </row>
    <row r="19" spans="1:11" x14ac:dyDescent="0.3">
      <c r="A19" s="2">
        <v>44595.907103825128</v>
      </c>
      <c r="B19" t="s">
        <v>11</v>
      </c>
      <c r="C19" t="s">
        <v>20</v>
      </c>
      <c r="D19" t="s">
        <v>24</v>
      </c>
      <c r="E19">
        <v>99377</v>
      </c>
      <c r="F19">
        <v>93652</v>
      </c>
      <c r="G19">
        <v>79603</v>
      </c>
      <c r="H19" t="s">
        <v>28</v>
      </c>
      <c r="I19" t="s">
        <v>33</v>
      </c>
      <c r="J19" t="s">
        <v>35</v>
      </c>
      <c r="K19">
        <f>YEAR(financeData[[#This Row],[Date]])</f>
        <v>2022</v>
      </c>
    </row>
    <row r="20" spans="1:11" x14ac:dyDescent="0.3">
      <c r="A20" s="2">
        <v>44597.901639344258</v>
      </c>
      <c r="B20" t="s">
        <v>14</v>
      </c>
      <c r="C20" t="s">
        <v>20</v>
      </c>
      <c r="D20" t="s">
        <v>23</v>
      </c>
      <c r="E20">
        <v>34192</v>
      </c>
      <c r="F20">
        <v>64711</v>
      </c>
      <c r="G20">
        <v>42481</v>
      </c>
      <c r="H20" t="s">
        <v>28</v>
      </c>
      <c r="I20" t="s">
        <v>34</v>
      </c>
      <c r="J20" t="s">
        <v>35</v>
      </c>
      <c r="K20">
        <f>YEAR(financeData[[#This Row],[Date]])</f>
        <v>2022</v>
      </c>
    </row>
    <row r="21" spans="1:11" x14ac:dyDescent="0.3">
      <c r="A21" s="2">
        <v>44599.896174863381</v>
      </c>
      <c r="B21" t="s">
        <v>10</v>
      </c>
      <c r="C21" t="s">
        <v>18</v>
      </c>
      <c r="D21" t="s">
        <v>27</v>
      </c>
      <c r="E21">
        <v>51542</v>
      </c>
      <c r="F21">
        <v>43323</v>
      </c>
      <c r="G21">
        <v>97573</v>
      </c>
      <c r="H21" t="s">
        <v>29</v>
      </c>
      <c r="I21" t="s">
        <v>34</v>
      </c>
      <c r="J21" t="s">
        <v>35</v>
      </c>
      <c r="K21">
        <f>YEAR(financeData[[#This Row],[Date]])</f>
        <v>2022</v>
      </c>
    </row>
    <row r="22" spans="1:11" x14ac:dyDescent="0.3">
      <c r="A22" s="2">
        <v>44601.890710382511</v>
      </c>
      <c r="B22" t="s">
        <v>13</v>
      </c>
      <c r="C22" t="s">
        <v>20</v>
      </c>
      <c r="D22" t="s">
        <v>27</v>
      </c>
      <c r="E22">
        <v>132015</v>
      </c>
      <c r="F22">
        <v>20752</v>
      </c>
      <c r="G22">
        <v>14557</v>
      </c>
      <c r="H22" t="s">
        <v>29</v>
      </c>
      <c r="I22" t="s">
        <v>32</v>
      </c>
      <c r="J22" t="s">
        <v>36</v>
      </c>
      <c r="K22">
        <f>YEAR(financeData[[#This Row],[Date]])</f>
        <v>2022</v>
      </c>
    </row>
    <row r="23" spans="1:11" x14ac:dyDescent="0.3">
      <c r="A23" s="2">
        <v>44603.885245901627</v>
      </c>
      <c r="B23" t="s">
        <v>11</v>
      </c>
      <c r="C23" t="s">
        <v>21</v>
      </c>
      <c r="D23" t="s">
        <v>24</v>
      </c>
      <c r="E23">
        <v>47520</v>
      </c>
      <c r="F23">
        <v>99912</v>
      </c>
      <c r="G23">
        <v>79971</v>
      </c>
      <c r="H23" t="s">
        <v>30</v>
      </c>
      <c r="I23" t="s">
        <v>33</v>
      </c>
      <c r="J23" t="s">
        <v>35</v>
      </c>
      <c r="K23">
        <f>YEAR(financeData[[#This Row],[Date]])</f>
        <v>2022</v>
      </c>
    </row>
    <row r="24" spans="1:11" x14ac:dyDescent="0.3">
      <c r="A24" s="2">
        <v>44605.879781420757</v>
      </c>
      <c r="B24" t="s">
        <v>10</v>
      </c>
      <c r="C24" t="s">
        <v>15</v>
      </c>
      <c r="D24" t="s">
        <v>24</v>
      </c>
      <c r="E24">
        <v>69772</v>
      </c>
      <c r="F24">
        <v>84205</v>
      </c>
      <c r="G24">
        <v>108302</v>
      </c>
      <c r="H24" t="s">
        <v>29</v>
      </c>
      <c r="I24" t="s">
        <v>34</v>
      </c>
      <c r="J24" t="s">
        <v>35</v>
      </c>
      <c r="K24">
        <f>YEAR(financeData[[#This Row],[Date]])</f>
        <v>2022</v>
      </c>
    </row>
    <row r="25" spans="1:11" x14ac:dyDescent="0.3">
      <c r="A25" s="2">
        <v>44607.874316939888</v>
      </c>
      <c r="B25" t="s">
        <v>14</v>
      </c>
      <c r="C25" t="s">
        <v>17</v>
      </c>
      <c r="D25" t="s">
        <v>25</v>
      </c>
      <c r="E25">
        <v>55106</v>
      </c>
      <c r="F25">
        <v>15395</v>
      </c>
      <c r="G25">
        <v>5162</v>
      </c>
      <c r="H25" t="s">
        <v>29</v>
      </c>
      <c r="I25" t="s">
        <v>33</v>
      </c>
      <c r="J25" t="s">
        <v>35</v>
      </c>
      <c r="K25">
        <f>YEAR(financeData[[#This Row],[Date]])</f>
        <v>2022</v>
      </c>
    </row>
    <row r="26" spans="1:11" x14ac:dyDescent="0.3">
      <c r="A26" s="2">
        <v>44609.868852459018</v>
      </c>
      <c r="B26" t="s">
        <v>14</v>
      </c>
      <c r="C26" t="s">
        <v>20</v>
      </c>
      <c r="D26" t="s">
        <v>27</v>
      </c>
      <c r="E26">
        <v>86121</v>
      </c>
      <c r="F26">
        <v>87957</v>
      </c>
      <c r="G26">
        <v>39742</v>
      </c>
      <c r="H26" t="s">
        <v>29</v>
      </c>
      <c r="I26" t="s">
        <v>33</v>
      </c>
      <c r="J26" t="s">
        <v>36</v>
      </c>
      <c r="K26">
        <f>YEAR(financeData[[#This Row],[Date]])</f>
        <v>2022</v>
      </c>
    </row>
    <row r="27" spans="1:11" x14ac:dyDescent="0.3">
      <c r="A27" s="2">
        <v>44611.863387978126</v>
      </c>
      <c r="B27" t="s">
        <v>12</v>
      </c>
      <c r="C27" t="s">
        <v>18</v>
      </c>
      <c r="D27" t="s">
        <v>23</v>
      </c>
      <c r="E27">
        <v>30559</v>
      </c>
      <c r="F27">
        <v>58273</v>
      </c>
      <c r="G27">
        <v>24675</v>
      </c>
      <c r="H27" t="s">
        <v>29</v>
      </c>
      <c r="I27" t="s">
        <v>32</v>
      </c>
      <c r="J27" t="s">
        <v>36</v>
      </c>
      <c r="K27">
        <f>YEAR(financeData[[#This Row],[Date]])</f>
        <v>2022</v>
      </c>
    </row>
    <row r="28" spans="1:11" x14ac:dyDescent="0.3">
      <c r="A28" s="2">
        <v>44613.857923497257</v>
      </c>
      <c r="B28" t="s">
        <v>12</v>
      </c>
      <c r="C28" t="s">
        <v>21</v>
      </c>
      <c r="D28" t="s">
        <v>26</v>
      </c>
      <c r="E28">
        <v>110595</v>
      </c>
      <c r="F28">
        <v>93878</v>
      </c>
      <c r="G28">
        <v>78997</v>
      </c>
      <c r="H28" t="s">
        <v>30</v>
      </c>
      <c r="I28" t="s">
        <v>32</v>
      </c>
      <c r="J28" t="s">
        <v>36</v>
      </c>
      <c r="K28">
        <f>YEAR(financeData[[#This Row],[Date]])</f>
        <v>2022</v>
      </c>
    </row>
    <row r="29" spans="1:11" x14ac:dyDescent="0.3">
      <c r="A29" s="2">
        <v>44615.852459016387</v>
      </c>
      <c r="B29" t="s">
        <v>13</v>
      </c>
      <c r="C29" t="s">
        <v>15</v>
      </c>
      <c r="D29" t="s">
        <v>23</v>
      </c>
      <c r="E29">
        <v>38742</v>
      </c>
      <c r="F29">
        <v>6895</v>
      </c>
      <c r="G29">
        <v>22015</v>
      </c>
      <c r="H29" t="s">
        <v>29</v>
      </c>
      <c r="I29" t="s">
        <v>32</v>
      </c>
      <c r="J29" t="s">
        <v>35</v>
      </c>
      <c r="K29">
        <f>YEAR(financeData[[#This Row],[Date]])</f>
        <v>2022</v>
      </c>
    </row>
    <row r="30" spans="1:11" x14ac:dyDescent="0.3">
      <c r="A30" s="2">
        <v>44617.84699453551</v>
      </c>
      <c r="B30" t="s">
        <v>10</v>
      </c>
      <c r="C30" t="s">
        <v>16</v>
      </c>
      <c r="D30" t="s">
        <v>22</v>
      </c>
      <c r="E30">
        <v>74669</v>
      </c>
      <c r="F30">
        <v>78559</v>
      </c>
      <c r="G30">
        <v>55057</v>
      </c>
      <c r="H30" t="s">
        <v>31</v>
      </c>
      <c r="I30" t="s">
        <v>32</v>
      </c>
      <c r="J30" t="s">
        <v>36</v>
      </c>
      <c r="K30">
        <f>YEAR(financeData[[#This Row],[Date]])</f>
        <v>2022</v>
      </c>
    </row>
    <row r="31" spans="1:11" x14ac:dyDescent="0.3">
      <c r="A31" s="2">
        <v>44619.84153005464</v>
      </c>
      <c r="B31" t="s">
        <v>10</v>
      </c>
      <c r="C31" t="s">
        <v>16</v>
      </c>
      <c r="D31" t="s">
        <v>22</v>
      </c>
      <c r="E31">
        <v>140044</v>
      </c>
      <c r="F31">
        <v>12699</v>
      </c>
      <c r="G31">
        <v>37591</v>
      </c>
      <c r="H31" t="s">
        <v>31</v>
      </c>
      <c r="I31" t="s">
        <v>32</v>
      </c>
      <c r="J31" t="s">
        <v>35</v>
      </c>
      <c r="K31">
        <f>YEAR(financeData[[#This Row],[Date]])</f>
        <v>2022</v>
      </c>
    </row>
    <row r="32" spans="1:11" x14ac:dyDescent="0.3">
      <c r="A32" s="2">
        <v>44621.836065573763</v>
      </c>
      <c r="B32" t="s">
        <v>12</v>
      </c>
      <c r="C32" t="s">
        <v>15</v>
      </c>
      <c r="D32" t="s">
        <v>24</v>
      </c>
      <c r="E32">
        <v>75831</v>
      </c>
      <c r="F32">
        <v>67061</v>
      </c>
      <c r="G32">
        <v>98583</v>
      </c>
      <c r="H32" t="s">
        <v>31</v>
      </c>
      <c r="I32" t="s">
        <v>32</v>
      </c>
      <c r="J32" t="s">
        <v>35</v>
      </c>
      <c r="K32">
        <f>YEAR(financeData[[#This Row],[Date]])</f>
        <v>2022</v>
      </c>
    </row>
    <row r="33" spans="1:11" x14ac:dyDescent="0.3">
      <c r="A33" s="2">
        <v>44623.830601092894</v>
      </c>
      <c r="B33" t="s">
        <v>10</v>
      </c>
      <c r="C33" t="s">
        <v>21</v>
      </c>
      <c r="D33" t="s">
        <v>25</v>
      </c>
      <c r="E33">
        <v>117217</v>
      </c>
      <c r="F33">
        <v>11715</v>
      </c>
      <c r="G33">
        <v>105318</v>
      </c>
      <c r="H33" t="s">
        <v>31</v>
      </c>
      <c r="I33" t="s">
        <v>32</v>
      </c>
      <c r="J33" t="s">
        <v>36</v>
      </c>
      <c r="K33">
        <f>YEAR(financeData[[#This Row],[Date]])</f>
        <v>2022</v>
      </c>
    </row>
    <row r="34" spans="1:11" x14ac:dyDescent="0.3">
      <c r="A34" s="2">
        <v>44625.825136612017</v>
      </c>
      <c r="B34" t="s">
        <v>10</v>
      </c>
      <c r="C34" t="s">
        <v>18</v>
      </c>
      <c r="D34" t="s">
        <v>22</v>
      </c>
      <c r="E34">
        <v>46873</v>
      </c>
      <c r="F34">
        <v>21169</v>
      </c>
      <c r="G34">
        <v>14833</v>
      </c>
      <c r="H34" t="s">
        <v>29</v>
      </c>
      <c r="I34" t="s">
        <v>32</v>
      </c>
      <c r="J34" t="s">
        <v>35</v>
      </c>
      <c r="K34">
        <f>YEAR(financeData[[#This Row],[Date]])</f>
        <v>2022</v>
      </c>
    </row>
    <row r="35" spans="1:11" x14ac:dyDescent="0.3">
      <c r="A35" s="2">
        <v>44627.819672131147</v>
      </c>
      <c r="B35" t="s">
        <v>14</v>
      </c>
      <c r="C35" t="s">
        <v>15</v>
      </c>
      <c r="D35" t="s">
        <v>27</v>
      </c>
      <c r="E35">
        <v>111532</v>
      </c>
      <c r="F35">
        <v>18163</v>
      </c>
      <c r="G35">
        <v>12896</v>
      </c>
      <c r="H35" t="s">
        <v>31</v>
      </c>
      <c r="I35" t="s">
        <v>34</v>
      </c>
      <c r="J35" t="s">
        <v>35</v>
      </c>
      <c r="K35">
        <f>YEAR(financeData[[#This Row],[Date]])</f>
        <v>2022</v>
      </c>
    </row>
    <row r="36" spans="1:11" x14ac:dyDescent="0.3">
      <c r="A36" s="2">
        <v>44629.814207650263</v>
      </c>
      <c r="B36" t="s">
        <v>12</v>
      </c>
      <c r="C36" t="s">
        <v>17</v>
      </c>
      <c r="D36" t="s">
        <v>23</v>
      </c>
      <c r="E36">
        <v>131267</v>
      </c>
      <c r="F36">
        <v>7782</v>
      </c>
      <c r="G36">
        <v>37972</v>
      </c>
      <c r="H36" t="s">
        <v>29</v>
      </c>
      <c r="I36" t="s">
        <v>33</v>
      </c>
      <c r="J36" t="s">
        <v>35</v>
      </c>
      <c r="K36">
        <f>YEAR(financeData[[#This Row],[Date]])</f>
        <v>2022</v>
      </c>
    </row>
    <row r="37" spans="1:11" x14ac:dyDescent="0.3">
      <c r="A37" s="2">
        <v>44631.8087431694</v>
      </c>
      <c r="B37" t="s">
        <v>11</v>
      </c>
      <c r="C37" t="s">
        <v>17</v>
      </c>
      <c r="D37" t="s">
        <v>23</v>
      </c>
      <c r="E37">
        <v>145975</v>
      </c>
      <c r="F37">
        <v>90177</v>
      </c>
      <c r="G37">
        <v>54733</v>
      </c>
      <c r="H37" t="s">
        <v>30</v>
      </c>
      <c r="I37" t="s">
        <v>32</v>
      </c>
      <c r="J37" t="s">
        <v>36</v>
      </c>
      <c r="K37">
        <f>YEAR(financeData[[#This Row],[Date]])</f>
        <v>2022</v>
      </c>
    </row>
    <row r="38" spans="1:11" x14ac:dyDescent="0.3">
      <c r="A38" s="2">
        <v>44633.803278688523</v>
      </c>
      <c r="B38" t="s">
        <v>12</v>
      </c>
      <c r="C38" t="s">
        <v>16</v>
      </c>
      <c r="D38" t="s">
        <v>24</v>
      </c>
      <c r="E38">
        <v>139092</v>
      </c>
      <c r="F38">
        <v>86328</v>
      </c>
      <c r="G38">
        <v>46800</v>
      </c>
      <c r="H38" t="s">
        <v>31</v>
      </c>
      <c r="I38" t="s">
        <v>32</v>
      </c>
      <c r="J38" t="s">
        <v>35</v>
      </c>
      <c r="K38">
        <f>YEAR(financeData[[#This Row],[Date]])</f>
        <v>2022</v>
      </c>
    </row>
    <row r="39" spans="1:11" x14ac:dyDescent="0.3">
      <c r="A39" s="2">
        <v>44635.797814207639</v>
      </c>
      <c r="B39" t="s">
        <v>11</v>
      </c>
      <c r="C39" t="s">
        <v>20</v>
      </c>
      <c r="D39" t="s">
        <v>26</v>
      </c>
      <c r="E39">
        <v>46755</v>
      </c>
      <c r="F39">
        <v>37585</v>
      </c>
      <c r="G39">
        <v>101044</v>
      </c>
      <c r="H39" t="s">
        <v>28</v>
      </c>
      <c r="I39" t="s">
        <v>33</v>
      </c>
      <c r="J39" t="s">
        <v>35</v>
      </c>
      <c r="K39">
        <f>YEAR(financeData[[#This Row],[Date]])</f>
        <v>2022</v>
      </c>
    </row>
    <row r="40" spans="1:11" x14ac:dyDescent="0.3">
      <c r="A40" s="2">
        <v>44637.792349726769</v>
      </c>
      <c r="B40" t="s">
        <v>14</v>
      </c>
      <c r="C40" t="s">
        <v>18</v>
      </c>
      <c r="D40" t="s">
        <v>24</v>
      </c>
      <c r="E40">
        <v>90956</v>
      </c>
      <c r="F40">
        <v>32682</v>
      </c>
      <c r="G40">
        <v>10347</v>
      </c>
      <c r="H40" t="s">
        <v>31</v>
      </c>
      <c r="I40" t="s">
        <v>34</v>
      </c>
      <c r="J40" t="s">
        <v>36</v>
      </c>
      <c r="K40">
        <f>YEAR(financeData[[#This Row],[Date]])</f>
        <v>2022</v>
      </c>
    </row>
    <row r="41" spans="1:11" x14ac:dyDescent="0.3">
      <c r="A41" s="2">
        <v>44639.786885245892</v>
      </c>
      <c r="B41" t="s">
        <v>13</v>
      </c>
      <c r="C41" t="s">
        <v>16</v>
      </c>
      <c r="D41" t="s">
        <v>26</v>
      </c>
      <c r="E41">
        <v>91988</v>
      </c>
      <c r="F41">
        <v>49864</v>
      </c>
      <c r="G41">
        <v>64063</v>
      </c>
      <c r="H41" t="s">
        <v>31</v>
      </c>
      <c r="I41" t="s">
        <v>33</v>
      </c>
      <c r="J41" t="s">
        <v>35</v>
      </c>
      <c r="K41">
        <f>YEAR(financeData[[#This Row],[Date]])</f>
        <v>2022</v>
      </c>
    </row>
    <row r="42" spans="1:11" x14ac:dyDescent="0.3">
      <c r="A42" s="2">
        <v>44641.781420765023</v>
      </c>
      <c r="B42" t="s">
        <v>10</v>
      </c>
      <c r="C42" t="s">
        <v>20</v>
      </c>
      <c r="D42" t="s">
        <v>24</v>
      </c>
      <c r="E42">
        <v>50648</v>
      </c>
      <c r="F42">
        <v>86416</v>
      </c>
      <c r="G42">
        <v>100850</v>
      </c>
      <c r="H42" t="s">
        <v>29</v>
      </c>
      <c r="I42" t="s">
        <v>33</v>
      </c>
      <c r="J42" t="s">
        <v>35</v>
      </c>
      <c r="K42">
        <f>YEAR(financeData[[#This Row],[Date]])</f>
        <v>2022</v>
      </c>
    </row>
    <row r="43" spans="1:11" x14ac:dyDescent="0.3">
      <c r="A43" s="2">
        <v>44643.775956284153</v>
      </c>
      <c r="B43" t="s">
        <v>14</v>
      </c>
      <c r="C43" t="s">
        <v>20</v>
      </c>
      <c r="D43" t="s">
        <v>24</v>
      </c>
      <c r="E43">
        <v>130991</v>
      </c>
      <c r="F43">
        <v>57114</v>
      </c>
      <c r="G43">
        <v>7643</v>
      </c>
      <c r="H43" t="s">
        <v>31</v>
      </c>
      <c r="I43" t="s">
        <v>32</v>
      </c>
      <c r="J43" t="s">
        <v>36</v>
      </c>
      <c r="K43">
        <f>YEAR(financeData[[#This Row],[Date]])</f>
        <v>2022</v>
      </c>
    </row>
    <row r="44" spans="1:11" x14ac:dyDescent="0.3">
      <c r="A44" s="2">
        <v>44645.770491803283</v>
      </c>
      <c r="B44" t="s">
        <v>10</v>
      </c>
      <c r="C44" t="s">
        <v>17</v>
      </c>
      <c r="D44" t="s">
        <v>24</v>
      </c>
      <c r="E44">
        <v>145588</v>
      </c>
      <c r="F44">
        <v>40067</v>
      </c>
      <c r="G44">
        <v>45785</v>
      </c>
      <c r="H44" t="s">
        <v>28</v>
      </c>
      <c r="I44" t="s">
        <v>33</v>
      </c>
      <c r="J44" t="s">
        <v>35</v>
      </c>
      <c r="K44">
        <f>YEAR(financeData[[#This Row],[Date]])</f>
        <v>2022</v>
      </c>
    </row>
    <row r="45" spans="1:11" x14ac:dyDescent="0.3">
      <c r="A45" s="2">
        <v>44647.765027322399</v>
      </c>
      <c r="B45" t="s">
        <v>13</v>
      </c>
      <c r="C45" t="s">
        <v>21</v>
      </c>
      <c r="D45" t="s">
        <v>26</v>
      </c>
      <c r="E45">
        <v>120005</v>
      </c>
      <c r="F45">
        <v>44685</v>
      </c>
      <c r="G45">
        <v>23681</v>
      </c>
      <c r="H45" t="s">
        <v>29</v>
      </c>
      <c r="I45" t="s">
        <v>33</v>
      </c>
      <c r="J45" t="s">
        <v>35</v>
      </c>
      <c r="K45">
        <f>YEAR(financeData[[#This Row],[Date]])</f>
        <v>2022</v>
      </c>
    </row>
    <row r="46" spans="1:11" x14ac:dyDescent="0.3">
      <c r="A46" s="2">
        <v>44649.759562841529</v>
      </c>
      <c r="B46" t="s">
        <v>13</v>
      </c>
      <c r="C46" t="s">
        <v>19</v>
      </c>
      <c r="D46" t="s">
        <v>26</v>
      </c>
      <c r="E46">
        <v>7396</v>
      </c>
      <c r="F46">
        <v>20073</v>
      </c>
      <c r="G46">
        <v>55026</v>
      </c>
      <c r="H46" t="s">
        <v>29</v>
      </c>
      <c r="I46" t="s">
        <v>32</v>
      </c>
      <c r="J46" t="s">
        <v>35</v>
      </c>
      <c r="K46">
        <f>YEAR(financeData[[#This Row],[Date]])</f>
        <v>2022</v>
      </c>
    </row>
    <row r="47" spans="1:11" x14ac:dyDescent="0.3">
      <c r="A47" s="2">
        <v>44651.754098360652</v>
      </c>
      <c r="B47" t="s">
        <v>14</v>
      </c>
      <c r="C47" t="s">
        <v>21</v>
      </c>
      <c r="D47" t="s">
        <v>24</v>
      </c>
      <c r="E47">
        <v>89082</v>
      </c>
      <c r="F47">
        <v>38035</v>
      </c>
      <c r="G47">
        <v>108864</v>
      </c>
      <c r="H47" t="s">
        <v>30</v>
      </c>
      <c r="I47" t="s">
        <v>32</v>
      </c>
      <c r="J47" t="s">
        <v>35</v>
      </c>
      <c r="K47">
        <f>YEAR(financeData[[#This Row],[Date]])</f>
        <v>2022</v>
      </c>
    </row>
    <row r="48" spans="1:11" x14ac:dyDescent="0.3">
      <c r="A48" s="2">
        <v>44653.748633879783</v>
      </c>
      <c r="B48" t="s">
        <v>13</v>
      </c>
      <c r="C48" t="s">
        <v>19</v>
      </c>
      <c r="D48" t="s">
        <v>22</v>
      </c>
      <c r="E48">
        <v>133322</v>
      </c>
      <c r="F48">
        <v>66977</v>
      </c>
      <c r="G48">
        <v>20892</v>
      </c>
      <c r="H48" t="s">
        <v>30</v>
      </c>
      <c r="I48" t="s">
        <v>32</v>
      </c>
      <c r="J48" t="s">
        <v>35</v>
      </c>
      <c r="K48">
        <f>YEAR(financeData[[#This Row],[Date]])</f>
        <v>2022</v>
      </c>
    </row>
    <row r="49" spans="1:11" x14ac:dyDescent="0.3">
      <c r="A49" s="2">
        <v>44655.743169398898</v>
      </c>
      <c r="B49" t="s">
        <v>11</v>
      </c>
      <c r="C49" t="s">
        <v>15</v>
      </c>
      <c r="D49" t="s">
        <v>25</v>
      </c>
      <c r="E49">
        <v>137663</v>
      </c>
      <c r="F49">
        <v>92373</v>
      </c>
      <c r="G49">
        <v>52299</v>
      </c>
      <c r="H49" t="s">
        <v>31</v>
      </c>
      <c r="I49" t="s">
        <v>32</v>
      </c>
      <c r="J49" t="s">
        <v>36</v>
      </c>
      <c r="K49">
        <f>YEAR(financeData[[#This Row],[Date]])</f>
        <v>2022</v>
      </c>
    </row>
    <row r="50" spans="1:11" x14ac:dyDescent="0.3">
      <c r="A50" s="2">
        <v>44657.737704918043</v>
      </c>
      <c r="B50" t="s">
        <v>13</v>
      </c>
      <c r="C50" t="s">
        <v>17</v>
      </c>
      <c r="D50" t="s">
        <v>25</v>
      </c>
      <c r="E50">
        <v>16303</v>
      </c>
      <c r="F50">
        <v>85362</v>
      </c>
      <c r="G50">
        <v>22073</v>
      </c>
      <c r="H50" t="s">
        <v>30</v>
      </c>
      <c r="I50" t="s">
        <v>33</v>
      </c>
      <c r="J50" t="s">
        <v>36</v>
      </c>
      <c r="K50">
        <f>YEAR(financeData[[#This Row],[Date]])</f>
        <v>2022</v>
      </c>
    </row>
    <row r="51" spans="1:11" x14ac:dyDescent="0.3">
      <c r="A51" s="2">
        <v>44659.732240437152</v>
      </c>
      <c r="B51" t="s">
        <v>10</v>
      </c>
      <c r="C51" t="s">
        <v>20</v>
      </c>
      <c r="D51" t="s">
        <v>25</v>
      </c>
      <c r="E51">
        <v>76719</v>
      </c>
      <c r="F51">
        <v>92517</v>
      </c>
      <c r="G51">
        <v>107304</v>
      </c>
      <c r="H51" t="s">
        <v>30</v>
      </c>
      <c r="I51" t="s">
        <v>33</v>
      </c>
      <c r="J51" t="s">
        <v>36</v>
      </c>
      <c r="K51">
        <f>YEAR(financeData[[#This Row],[Date]])</f>
        <v>2022</v>
      </c>
    </row>
    <row r="52" spans="1:11" x14ac:dyDescent="0.3">
      <c r="A52" s="2">
        <v>44661.726775956267</v>
      </c>
      <c r="B52" t="s">
        <v>10</v>
      </c>
      <c r="C52" t="s">
        <v>18</v>
      </c>
      <c r="D52" t="s">
        <v>26</v>
      </c>
      <c r="E52">
        <v>104616</v>
      </c>
      <c r="F52">
        <v>67450</v>
      </c>
      <c r="G52">
        <v>35682</v>
      </c>
      <c r="H52" t="s">
        <v>30</v>
      </c>
      <c r="I52" t="s">
        <v>34</v>
      </c>
      <c r="J52" t="s">
        <v>36</v>
      </c>
      <c r="K52">
        <f>YEAR(financeData[[#This Row],[Date]])</f>
        <v>2022</v>
      </c>
    </row>
    <row r="53" spans="1:11" x14ac:dyDescent="0.3">
      <c r="A53" s="2">
        <v>44663.721311475398</v>
      </c>
      <c r="B53" t="s">
        <v>10</v>
      </c>
      <c r="C53" t="s">
        <v>19</v>
      </c>
      <c r="D53" t="s">
        <v>26</v>
      </c>
      <c r="E53">
        <v>129165</v>
      </c>
      <c r="F53">
        <v>12382</v>
      </c>
      <c r="G53">
        <v>102798</v>
      </c>
      <c r="H53" t="s">
        <v>29</v>
      </c>
      <c r="I53" t="s">
        <v>34</v>
      </c>
      <c r="J53" t="s">
        <v>35</v>
      </c>
      <c r="K53">
        <f>YEAR(financeData[[#This Row],[Date]])</f>
        <v>2022</v>
      </c>
    </row>
    <row r="54" spans="1:11" x14ac:dyDescent="0.3">
      <c r="A54" s="2">
        <v>44665.715846994528</v>
      </c>
      <c r="B54" t="s">
        <v>10</v>
      </c>
      <c r="C54" t="s">
        <v>21</v>
      </c>
      <c r="D54" t="s">
        <v>22</v>
      </c>
      <c r="E54">
        <v>91231</v>
      </c>
      <c r="F54">
        <v>6437</v>
      </c>
      <c r="G54">
        <v>101894</v>
      </c>
      <c r="H54" t="s">
        <v>29</v>
      </c>
      <c r="I54" t="s">
        <v>33</v>
      </c>
      <c r="J54" t="s">
        <v>35</v>
      </c>
      <c r="K54">
        <f>YEAR(financeData[[#This Row],[Date]])</f>
        <v>2022</v>
      </c>
    </row>
    <row r="55" spans="1:11" x14ac:dyDescent="0.3">
      <c r="A55" s="2">
        <v>44667.710382513658</v>
      </c>
      <c r="B55" t="s">
        <v>11</v>
      </c>
      <c r="C55" t="s">
        <v>20</v>
      </c>
      <c r="D55" t="s">
        <v>25</v>
      </c>
      <c r="E55">
        <v>12314</v>
      </c>
      <c r="F55">
        <v>72971</v>
      </c>
      <c r="G55">
        <v>19289</v>
      </c>
      <c r="H55" t="s">
        <v>29</v>
      </c>
      <c r="I55" t="s">
        <v>34</v>
      </c>
      <c r="J55" t="s">
        <v>35</v>
      </c>
      <c r="K55">
        <f>YEAR(financeData[[#This Row],[Date]])</f>
        <v>2022</v>
      </c>
    </row>
    <row r="56" spans="1:11" x14ac:dyDescent="0.3">
      <c r="A56" s="2">
        <v>44669.704918032781</v>
      </c>
      <c r="B56" t="s">
        <v>12</v>
      </c>
      <c r="C56" t="s">
        <v>19</v>
      </c>
      <c r="D56" t="s">
        <v>25</v>
      </c>
      <c r="E56">
        <v>24623</v>
      </c>
      <c r="F56">
        <v>66612</v>
      </c>
      <c r="G56">
        <v>12927</v>
      </c>
      <c r="H56" t="s">
        <v>30</v>
      </c>
      <c r="I56" t="s">
        <v>33</v>
      </c>
      <c r="J56" t="s">
        <v>35</v>
      </c>
      <c r="K56">
        <f>YEAR(financeData[[#This Row],[Date]])</f>
        <v>2022</v>
      </c>
    </row>
    <row r="57" spans="1:11" x14ac:dyDescent="0.3">
      <c r="A57" s="2">
        <v>44671.699453551912</v>
      </c>
      <c r="B57" t="s">
        <v>14</v>
      </c>
      <c r="C57" t="s">
        <v>19</v>
      </c>
      <c r="D57" t="s">
        <v>24</v>
      </c>
      <c r="E57">
        <v>110228</v>
      </c>
      <c r="F57">
        <v>92355</v>
      </c>
      <c r="G57">
        <v>53330</v>
      </c>
      <c r="H57" t="s">
        <v>29</v>
      </c>
      <c r="I57" t="s">
        <v>34</v>
      </c>
      <c r="J57" t="s">
        <v>35</v>
      </c>
      <c r="K57">
        <f>YEAR(financeData[[#This Row],[Date]])</f>
        <v>2022</v>
      </c>
    </row>
    <row r="58" spans="1:11" x14ac:dyDescent="0.3">
      <c r="A58" s="2">
        <v>44673.693989071027</v>
      </c>
      <c r="B58" t="s">
        <v>10</v>
      </c>
      <c r="C58" t="s">
        <v>19</v>
      </c>
      <c r="D58" t="s">
        <v>26</v>
      </c>
      <c r="E58">
        <v>102624</v>
      </c>
      <c r="F58">
        <v>63929</v>
      </c>
      <c r="G58">
        <v>71707</v>
      </c>
      <c r="H58" t="s">
        <v>30</v>
      </c>
      <c r="I58" t="s">
        <v>32</v>
      </c>
      <c r="J58" t="s">
        <v>36</v>
      </c>
      <c r="K58">
        <f>YEAR(financeData[[#This Row],[Date]])</f>
        <v>2022</v>
      </c>
    </row>
    <row r="59" spans="1:11" x14ac:dyDescent="0.3">
      <c r="A59" s="2">
        <v>44675.688524590158</v>
      </c>
      <c r="B59" t="s">
        <v>13</v>
      </c>
      <c r="C59" t="s">
        <v>18</v>
      </c>
      <c r="D59" t="s">
        <v>25</v>
      </c>
      <c r="E59">
        <v>116785</v>
      </c>
      <c r="F59">
        <v>99518</v>
      </c>
      <c r="G59">
        <v>82454</v>
      </c>
      <c r="H59" t="s">
        <v>29</v>
      </c>
      <c r="I59" t="s">
        <v>34</v>
      </c>
      <c r="J59" t="s">
        <v>36</v>
      </c>
      <c r="K59">
        <f>YEAR(financeData[[#This Row],[Date]])</f>
        <v>2022</v>
      </c>
    </row>
    <row r="60" spans="1:11" x14ac:dyDescent="0.3">
      <c r="A60" s="2">
        <v>44677.683060109281</v>
      </c>
      <c r="B60" t="s">
        <v>10</v>
      </c>
      <c r="C60" t="s">
        <v>17</v>
      </c>
      <c r="D60" t="s">
        <v>23</v>
      </c>
      <c r="E60">
        <v>91206</v>
      </c>
      <c r="F60">
        <v>14329</v>
      </c>
      <c r="G60">
        <v>112439</v>
      </c>
      <c r="H60" t="s">
        <v>29</v>
      </c>
      <c r="I60" t="s">
        <v>32</v>
      </c>
      <c r="J60" t="s">
        <v>35</v>
      </c>
      <c r="K60">
        <f>YEAR(financeData[[#This Row],[Date]])</f>
        <v>2022</v>
      </c>
    </row>
    <row r="61" spans="1:11" x14ac:dyDescent="0.3">
      <c r="A61" s="2">
        <v>44679.677595628411</v>
      </c>
      <c r="B61" t="s">
        <v>13</v>
      </c>
      <c r="C61" t="s">
        <v>18</v>
      </c>
      <c r="D61" t="s">
        <v>22</v>
      </c>
      <c r="E61">
        <v>74274</v>
      </c>
      <c r="F61">
        <v>27169</v>
      </c>
      <c r="G61">
        <v>109646</v>
      </c>
      <c r="H61" t="s">
        <v>28</v>
      </c>
      <c r="I61" t="s">
        <v>32</v>
      </c>
      <c r="J61" t="s">
        <v>35</v>
      </c>
      <c r="K61">
        <f>YEAR(financeData[[#This Row],[Date]])</f>
        <v>2022</v>
      </c>
    </row>
    <row r="62" spans="1:11" x14ac:dyDescent="0.3">
      <c r="A62" s="2">
        <v>44681.672131147527</v>
      </c>
      <c r="B62" t="s">
        <v>13</v>
      </c>
      <c r="C62" t="s">
        <v>16</v>
      </c>
      <c r="D62" t="s">
        <v>23</v>
      </c>
      <c r="E62">
        <v>138541</v>
      </c>
      <c r="F62">
        <v>89468</v>
      </c>
      <c r="G62">
        <v>70428</v>
      </c>
      <c r="H62" t="s">
        <v>31</v>
      </c>
      <c r="I62" t="s">
        <v>32</v>
      </c>
      <c r="J62" t="s">
        <v>35</v>
      </c>
      <c r="K62">
        <f>YEAR(financeData[[#This Row],[Date]])</f>
        <v>2022</v>
      </c>
    </row>
    <row r="63" spans="1:11" x14ac:dyDescent="0.3">
      <c r="A63" s="2">
        <v>44683.666666666657</v>
      </c>
      <c r="B63" t="s">
        <v>10</v>
      </c>
      <c r="C63" t="s">
        <v>20</v>
      </c>
      <c r="D63" t="s">
        <v>23</v>
      </c>
      <c r="E63">
        <v>58947</v>
      </c>
      <c r="F63">
        <v>36594</v>
      </c>
      <c r="G63">
        <v>55601</v>
      </c>
      <c r="H63" t="s">
        <v>30</v>
      </c>
      <c r="I63" t="s">
        <v>32</v>
      </c>
      <c r="J63" t="s">
        <v>36</v>
      </c>
      <c r="K63">
        <f>YEAR(financeData[[#This Row],[Date]])</f>
        <v>2022</v>
      </c>
    </row>
    <row r="64" spans="1:11" x14ac:dyDescent="0.3">
      <c r="A64" s="2">
        <v>44685.661202185787</v>
      </c>
      <c r="B64" t="s">
        <v>11</v>
      </c>
      <c r="C64" t="s">
        <v>17</v>
      </c>
      <c r="D64" t="s">
        <v>22</v>
      </c>
      <c r="E64">
        <v>53874</v>
      </c>
      <c r="F64">
        <v>78957</v>
      </c>
      <c r="G64">
        <v>82465</v>
      </c>
      <c r="H64" t="s">
        <v>28</v>
      </c>
      <c r="I64" t="s">
        <v>34</v>
      </c>
      <c r="J64" t="s">
        <v>35</v>
      </c>
      <c r="K64">
        <f>YEAR(financeData[[#This Row],[Date]])</f>
        <v>2022</v>
      </c>
    </row>
    <row r="65" spans="1:11" x14ac:dyDescent="0.3">
      <c r="A65" s="2">
        <v>44687.65573770491</v>
      </c>
      <c r="B65" t="s">
        <v>13</v>
      </c>
      <c r="C65" t="s">
        <v>17</v>
      </c>
      <c r="D65" t="s">
        <v>23</v>
      </c>
      <c r="E65">
        <v>54708</v>
      </c>
      <c r="F65">
        <v>62631</v>
      </c>
      <c r="G65">
        <v>7539</v>
      </c>
      <c r="H65" t="s">
        <v>29</v>
      </c>
      <c r="I65" t="s">
        <v>33</v>
      </c>
      <c r="J65" t="s">
        <v>35</v>
      </c>
      <c r="K65">
        <f>YEAR(financeData[[#This Row],[Date]])</f>
        <v>2022</v>
      </c>
    </row>
    <row r="66" spans="1:11" x14ac:dyDescent="0.3">
      <c r="A66" s="2">
        <v>44689.650273224041</v>
      </c>
      <c r="B66" t="s">
        <v>13</v>
      </c>
      <c r="C66" t="s">
        <v>17</v>
      </c>
      <c r="D66" t="s">
        <v>25</v>
      </c>
      <c r="E66">
        <v>79553</v>
      </c>
      <c r="F66">
        <v>47033</v>
      </c>
      <c r="G66">
        <v>107263</v>
      </c>
      <c r="H66" t="s">
        <v>30</v>
      </c>
      <c r="I66" t="s">
        <v>32</v>
      </c>
      <c r="J66" t="s">
        <v>35</v>
      </c>
      <c r="K66">
        <f>YEAR(financeData[[#This Row],[Date]])</f>
        <v>2022</v>
      </c>
    </row>
    <row r="67" spans="1:11" x14ac:dyDescent="0.3">
      <c r="A67" s="2">
        <v>44691.644808743164</v>
      </c>
      <c r="B67" t="s">
        <v>10</v>
      </c>
      <c r="C67" t="s">
        <v>21</v>
      </c>
      <c r="D67" t="s">
        <v>26</v>
      </c>
      <c r="E67">
        <v>73344</v>
      </c>
      <c r="F67">
        <v>65133</v>
      </c>
      <c r="G67">
        <v>116487</v>
      </c>
      <c r="H67" t="s">
        <v>29</v>
      </c>
      <c r="I67" t="s">
        <v>34</v>
      </c>
      <c r="J67" t="s">
        <v>36</v>
      </c>
      <c r="K67">
        <f>YEAR(financeData[[#This Row],[Date]])</f>
        <v>2022</v>
      </c>
    </row>
    <row r="68" spans="1:11" x14ac:dyDescent="0.3">
      <c r="A68" s="2">
        <v>44693.639344262287</v>
      </c>
      <c r="B68" t="s">
        <v>13</v>
      </c>
      <c r="C68" t="s">
        <v>17</v>
      </c>
      <c r="D68" t="s">
        <v>22</v>
      </c>
      <c r="E68">
        <v>54138</v>
      </c>
      <c r="F68">
        <v>75165</v>
      </c>
      <c r="G68">
        <v>27669</v>
      </c>
      <c r="H68" t="s">
        <v>31</v>
      </c>
      <c r="I68" t="s">
        <v>32</v>
      </c>
      <c r="J68" t="s">
        <v>35</v>
      </c>
      <c r="K68">
        <f>YEAR(financeData[[#This Row],[Date]])</f>
        <v>2022</v>
      </c>
    </row>
    <row r="69" spans="1:11" x14ac:dyDescent="0.3">
      <c r="A69" s="2">
        <v>44695.63387978141</v>
      </c>
      <c r="B69" t="s">
        <v>13</v>
      </c>
      <c r="C69" t="s">
        <v>18</v>
      </c>
      <c r="D69" t="s">
        <v>24</v>
      </c>
      <c r="E69">
        <v>52638</v>
      </c>
      <c r="F69">
        <v>75861</v>
      </c>
      <c r="G69">
        <v>75968</v>
      </c>
      <c r="H69" t="s">
        <v>28</v>
      </c>
      <c r="I69" t="s">
        <v>34</v>
      </c>
      <c r="J69" t="s">
        <v>36</v>
      </c>
      <c r="K69">
        <f>YEAR(financeData[[#This Row],[Date]])</f>
        <v>2022</v>
      </c>
    </row>
    <row r="70" spans="1:11" x14ac:dyDescent="0.3">
      <c r="A70" s="2">
        <v>44697.628415300547</v>
      </c>
      <c r="B70" t="s">
        <v>10</v>
      </c>
      <c r="C70" t="s">
        <v>17</v>
      </c>
      <c r="D70" t="s">
        <v>23</v>
      </c>
      <c r="E70">
        <v>83249</v>
      </c>
      <c r="F70">
        <v>54290</v>
      </c>
      <c r="G70">
        <v>25644</v>
      </c>
      <c r="H70" t="s">
        <v>31</v>
      </c>
      <c r="I70" t="s">
        <v>34</v>
      </c>
      <c r="J70" t="s">
        <v>36</v>
      </c>
      <c r="K70">
        <f>YEAR(financeData[[#This Row],[Date]])</f>
        <v>2022</v>
      </c>
    </row>
    <row r="71" spans="1:11" x14ac:dyDescent="0.3">
      <c r="A71" s="2">
        <v>44699.622950819663</v>
      </c>
      <c r="B71" t="s">
        <v>10</v>
      </c>
      <c r="C71" t="s">
        <v>15</v>
      </c>
      <c r="D71" t="s">
        <v>22</v>
      </c>
      <c r="E71">
        <v>110865</v>
      </c>
      <c r="F71">
        <v>96031</v>
      </c>
      <c r="G71">
        <v>23745</v>
      </c>
      <c r="H71" t="s">
        <v>28</v>
      </c>
      <c r="I71" t="s">
        <v>34</v>
      </c>
      <c r="J71" t="s">
        <v>36</v>
      </c>
      <c r="K71">
        <f>YEAR(financeData[[#This Row],[Date]])</f>
        <v>2022</v>
      </c>
    </row>
    <row r="72" spans="1:11" x14ac:dyDescent="0.3">
      <c r="A72" s="2">
        <v>44701.617486338793</v>
      </c>
      <c r="B72" t="s">
        <v>14</v>
      </c>
      <c r="C72" t="s">
        <v>20</v>
      </c>
      <c r="D72" t="s">
        <v>27</v>
      </c>
      <c r="E72">
        <v>7719</v>
      </c>
      <c r="F72">
        <v>33750</v>
      </c>
      <c r="G72">
        <v>33228</v>
      </c>
      <c r="H72" t="s">
        <v>29</v>
      </c>
      <c r="I72" t="s">
        <v>33</v>
      </c>
      <c r="J72" t="s">
        <v>36</v>
      </c>
      <c r="K72">
        <f>YEAR(financeData[[#This Row],[Date]])</f>
        <v>2022</v>
      </c>
    </row>
    <row r="73" spans="1:11" x14ac:dyDescent="0.3">
      <c r="A73" s="2">
        <v>44703.612021857924</v>
      </c>
      <c r="B73" t="s">
        <v>11</v>
      </c>
      <c r="C73" t="s">
        <v>17</v>
      </c>
      <c r="D73" t="s">
        <v>27</v>
      </c>
      <c r="E73">
        <v>47534</v>
      </c>
      <c r="F73">
        <v>97155</v>
      </c>
      <c r="G73">
        <v>39521</v>
      </c>
      <c r="H73" t="s">
        <v>31</v>
      </c>
      <c r="I73" t="s">
        <v>34</v>
      </c>
      <c r="J73" t="s">
        <v>36</v>
      </c>
      <c r="K73">
        <f>YEAR(financeData[[#This Row],[Date]])</f>
        <v>2022</v>
      </c>
    </row>
    <row r="74" spans="1:11" x14ac:dyDescent="0.3">
      <c r="A74" s="2">
        <v>44705.606557377047</v>
      </c>
      <c r="B74" t="s">
        <v>11</v>
      </c>
      <c r="C74" t="s">
        <v>20</v>
      </c>
      <c r="D74" t="s">
        <v>26</v>
      </c>
      <c r="E74">
        <v>97241</v>
      </c>
      <c r="F74">
        <v>42461</v>
      </c>
      <c r="G74">
        <v>102239</v>
      </c>
      <c r="H74" t="s">
        <v>31</v>
      </c>
      <c r="I74" t="s">
        <v>34</v>
      </c>
      <c r="J74" t="s">
        <v>36</v>
      </c>
      <c r="K74">
        <f>YEAR(financeData[[#This Row],[Date]])</f>
        <v>2022</v>
      </c>
    </row>
    <row r="75" spans="1:11" x14ac:dyDescent="0.3">
      <c r="A75" s="2">
        <v>44707.60109289617</v>
      </c>
      <c r="B75" t="s">
        <v>13</v>
      </c>
      <c r="C75" t="s">
        <v>15</v>
      </c>
      <c r="D75" t="s">
        <v>25</v>
      </c>
      <c r="E75">
        <v>131209</v>
      </c>
      <c r="F75">
        <v>75800</v>
      </c>
      <c r="G75">
        <v>31928</v>
      </c>
      <c r="H75" t="s">
        <v>29</v>
      </c>
      <c r="I75" t="s">
        <v>33</v>
      </c>
      <c r="J75" t="s">
        <v>35</v>
      </c>
      <c r="K75">
        <f>YEAR(financeData[[#This Row],[Date]])</f>
        <v>2022</v>
      </c>
    </row>
    <row r="76" spans="1:11" x14ac:dyDescent="0.3">
      <c r="A76" s="2">
        <v>44709.595628415293</v>
      </c>
      <c r="B76" t="s">
        <v>11</v>
      </c>
      <c r="C76" t="s">
        <v>15</v>
      </c>
      <c r="D76" t="s">
        <v>26</v>
      </c>
      <c r="E76">
        <v>97124</v>
      </c>
      <c r="F76">
        <v>80222</v>
      </c>
      <c r="G76">
        <v>23322</v>
      </c>
      <c r="H76" t="s">
        <v>31</v>
      </c>
      <c r="I76" t="s">
        <v>33</v>
      </c>
      <c r="J76" t="s">
        <v>35</v>
      </c>
      <c r="K76">
        <f>YEAR(financeData[[#This Row],[Date]])</f>
        <v>2022</v>
      </c>
    </row>
    <row r="77" spans="1:11" x14ac:dyDescent="0.3">
      <c r="A77" s="2">
        <v>44711.590163934423</v>
      </c>
      <c r="B77" t="s">
        <v>13</v>
      </c>
      <c r="C77" t="s">
        <v>20</v>
      </c>
      <c r="D77" t="s">
        <v>26</v>
      </c>
      <c r="E77">
        <v>96659</v>
      </c>
      <c r="F77">
        <v>26226</v>
      </c>
      <c r="G77">
        <v>62714</v>
      </c>
      <c r="H77" t="s">
        <v>30</v>
      </c>
      <c r="I77" t="s">
        <v>34</v>
      </c>
      <c r="J77" t="s">
        <v>35</v>
      </c>
      <c r="K77">
        <f>YEAR(financeData[[#This Row],[Date]])</f>
        <v>2022</v>
      </c>
    </row>
    <row r="78" spans="1:11" x14ac:dyDescent="0.3">
      <c r="A78" s="2">
        <v>44713.584699453539</v>
      </c>
      <c r="B78" t="s">
        <v>14</v>
      </c>
      <c r="C78" t="s">
        <v>19</v>
      </c>
      <c r="D78" t="s">
        <v>26</v>
      </c>
      <c r="E78">
        <v>80713</v>
      </c>
      <c r="F78">
        <v>8721</v>
      </c>
      <c r="G78">
        <v>92896</v>
      </c>
      <c r="H78" t="s">
        <v>28</v>
      </c>
      <c r="I78" t="s">
        <v>33</v>
      </c>
      <c r="J78" t="s">
        <v>36</v>
      </c>
      <c r="K78">
        <f>YEAR(financeData[[#This Row],[Date]])</f>
        <v>2022</v>
      </c>
    </row>
    <row r="79" spans="1:11" x14ac:dyDescent="0.3">
      <c r="A79" s="2">
        <v>44715.579234972683</v>
      </c>
      <c r="B79" t="s">
        <v>10</v>
      </c>
      <c r="C79" t="s">
        <v>16</v>
      </c>
      <c r="D79" t="s">
        <v>26</v>
      </c>
      <c r="E79">
        <v>80418</v>
      </c>
      <c r="F79">
        <v>58154</v>
      </c>
      <c r="G79">
        <v>67292</v>
      </c>
      <c r="H79" t="s">
        <v>28</v>
      </c>
      <c r="I79" t="s">
        <v>32</v>
      </c>
      <c r="J79" t="s">
        <v>35</v>
      </c>
      <c r="K79">
        <f>YEAR(financeData[[#This Row],[Date]])</f>
        <v>2022</v>
      </c>
    </row>
    <row r="80" spans="1:11" x14ac:dyDescent="0.3">
      <c r="A80" s="2">
        <v>44717.573770491792</v>
      </c>
      <c r="B80" t="s">
        <v>10</v>
      </c>
      <c r="C80" t="s">
        <v>21</v>
      </c>
      <c r="D80" t="s">
        <v>24</v>
      </c>
      <c r="E80">
        <v>133232</v>
      </c>
      <c r="F80">
        <v>22609</v>
      </c>
      <c r="G80">
        <v>34055</v>
      </c>
      <c r="H80" t="s">
        <v>28</v>
      </c>
      <c r="I80" t="s">
        <v>32</v>
      </c>
      <c r="J80" t="s">
        <v>36</v>
      </c>
      <c r="K80">
        <f>YEAR(financeData[[#This Row],[Date]])</f>
        <v>2022</v>
      </c>
    </row>
    <row r="81" spans="1:11" x14ac:dyDescent="0.3">
      <c r="A81" s="2">
        <v>44719.56830601093</v>
      </c>
      <c r="B81" t="s">
        <v>10</v>
      </c>
      <c r="C81" t="s">
        <v>19</v>
      </c>
      <c r="D81" t="s">
        <v>24</v>
      </c>
      <c r="E81">
        <v>149059</v>
      </c>
      <c r="F81">
        <v>54130</v>
      </c>
      <c r="G81">
        <v>47891</v>
      </c>
      <c r="H81" t="s">
        <v>30</v>
      </c>
      <c r="I81" t="s">
        <v>33</v>
      </c>
      <c r="J81" t="s">
        <v>36</v>
      </c>
      <c r="K81">
        <f>YEAR(financeData[[#This Row],[Date]])</f>
        <v>2022</v>
      </c>
    </row>
    <row r="82" spans="1:11" x14ac:dyDescent="0.3">
      <c r="A82" s="2">
        <v>44721.562841530053</v>
      </c>
      <c r="B82" t="s">
        <v>11</v>
      </c>
      <c r="C82" t="s">
        <v>19</v>
      </c>
      <c r="D82" t="s">
        <v>22</v>
      </c>
      <c r="E82">
        <v>36575</v>
      </c>
      <c r="F82">
        <v>74909</v>
      </c>
      <c r="G82">
        <v>86912</v>
      </c>
      <c r="H82" t="s">
        <v>28</v>
      </c>
      <c r="I82" t="s">
        <v>33</v>
      </c>
      <c r="J82" t="s">
        <v>36</v>
      </c>
      <c r="K82">
        <f>YEAR(financeData[[#This Row],[Date]])</f>
        <v>2022</v>
      </c>
    </row>
    <row r="83" spans="1:11" x14ac:dyDescent="0.3">
      <c r="A83" s="2">
        <v>44723.557377049183</v>
      </c>
      <c r="B83" t="s">
        <v>14</v>
      </c>
      <c r="C83" t="s">
        <v>18</v>
      </c>
      <c r="D83" t="s">
        <v>27</v>
      </c>
      <c r="E83">
        <v>68852</v>
      </c>
      <c r="F83">
        <v>57249</v>
      </c>
      <c r="G83">
        <v>11588</v>
      </c>
      <c r="H83" t="s">
        <v>29</v>
      </c>
      <c r="I83" t="s">
        <v>34</v>
      </c>
      <c r="J83" t="s">
        <v>35</v>
      </c>
      <c r="K83">
        <f>YEAR(financeData[[#This Row],[Date]])</f>
        <v>2022</v>
      </c>
    </row>
    <row r="84" spans="1:11" x14ac:dyDescent="0.3">
      <c r="A84" s="2">
        <v>44725.551912568299</v>
      </c>
      <c r="B84" t="s">
        <v>11</v>
      </c>
      <c r="C84" t="s">
        <v>21</v>
      </c>
      <c r="D84" t="s">
        <v>26</v>
      </c>
      <c r="E84">
        <v>137079</v>
      </c>
      <c r="F84">
        <v>50895</v>
      </c>
      <c r="G84">
        <v>95536</v>
      </c>
      <c r="H84" t="s">
        <v>31</v>
      </c>
      <c r="I84" t="s">
        <v>33</v>
      </c>
      <c r="J84" t="s">
        <v>36</v>
      </c>
      <c r="K84">
        <f>YEAR(financeData[[#This Row],[Date]])</f>
        <v>2022</v>
      </c>
    </row>
    <row r="85" spans="1:11" x14ac:dyDescent="0.3">
      <c r="A85" s="2">
        <v>44727.546448087429</v>
      </c>
      <c r="B85" t="s">
        <v>11</v>
      </c>
      <c r="C85" t="s">
        <v>21</v>
      </c>
      <c r="D85" t="s">
        <v>22</v>
      </c>
      <c r="E85">
        <v>81242</v>
      </c>
      <c r="F85">
        <v>96473</v>
      </c>
      <c r="G85">
        <v>11304</v>
      </c>
      <c r="H85" t="s">
        <v>30</v>
      </c>
      <c r="I85" t="s">
        <v>34</v>
      </c>
      <c r="J85" t="s">
        <v>36</v>
      </c>
      <c r="K85">
        <f>YEAR(financeData[[#This Row],[Date]])</f>
        <v>2022</v>
      </c>
    </row>
    <row r="86" spans="1:11" x14ac:dyDescent="0.3">
      <c r="A86" s="2">
        <v>44729.540983606552</v>
      </c>
      <c r="B86" t="s">
        <v>14</v>
      </c>
      <c r="C86" t="s">
        <v>19</v>
      </c>
      <c r="D86" t="s">
        <v>27</v>
      </c>
      <c r="E86">
        <v>34257</v>
      </c>
      <c r="F86">
        <v>7656</v>
      </c>
      <c r="G86">
        <v>12345</v>
      </c>
      <c r="H86" t="s">
        <v>28</v>
      </c>
      <c r="I86" t="s">
        <v>32</v>
      </c>
      <c r="J86" t="s">
        <v>35</v>
      </c>
      <c r="K86">
        <f>YEAR(financeData[[#This Row],[Date]])</f>
        <v>2022</v>
      </c>
    </row>
    <row r="87" spans="1:11" x14ac:dyDescent="0.3">
      <c r="A87" s="2">
        <v>44731.535519125682</v>
      </c>
      <c r="B87" t="s">
        <v>14</v>
      </c>
      <c r="C87" t="s">
        <v>17</v>
      </c>
      <c r="D87" t="s">
        <v>23</v>
      </c>
      <c r="E87">
        <v>149353</v>
      </c>
      <c r="F87">
        <v>76520</v>
      </c>
      <c r="G87">
        <v>34300</v>
      </c>
      <c r="H87" t="s">
        <v>29</v>
      </c>
      <c r="I87" t="s">
        <v>33</v>
      </c>
      <c r="J87" t="s">
        <v>35</v>
      </c>
      <c r="K87">
        <f>YEAR(financeData[[#This Row],[Date]])</f>
        <v>2022</v>
      </c>
    </row>
    <row r="88" spans="1:11" x14ac:dyDescent="0.3">
      <c r="A88" s="2">
        <v>44733.530054644812</v>
      </c>
      <c r="B88" t="s">
        <v>14</v>
      </c>
      <c r="C88" t="s">
        <v>18</v>
      </c>
      <c r="D88" t="s">
        <v>25</v>
      </c>
      <c r="E88">
        <v>66246</v>
      </c>
      <c r="F88">
        <v>65740</v>
      </c>
      <c r="G88">
        <v>29259</v>
      </c>
      <c r="H88" t="s">
        <v>31</v>
      </c>
      <c r="I88" t="s">
        <v>34</v>
      </c>
      <c r="J88" t="s">
        <v>36</v>
      </c>
      <c r="K88">
        <f>YEAR(financeData[[#This Row],[Date]])</f>
        <v>2022</v>
      </c>
    </row>
    <row r="89" spans="1:11" x14ac:dyDescent="0.3">
      <c r="A89" s="2">
        <v>44735.524590163921</v>
      </c>
      <c r="B89" t="s">
        <v>14</v>
      </c>
      <c r="C89" t="s">
        <v>18</v>
      </c>
      <c r="D89" t="s">
        <v>24</v>
      </c>
      <c r="E89">
        <v>6435</v>
      </c>
      <c r="F89">
        <v>66309</v>
      </c>
      <c r="G89">
        <v>96006</v>
      </c>
      <c r="H89" t="s">
        <v>31</v>
      </c>
      <c r="I89" t="s">
        <v>34</v>
      </c>
      <c r="J89" t="s">
        <v>36</v>
      </c>
      <c r="K89">
        <f>YEAR(financeData[[#This Row],[Date]])</f>
        <v>2022</v>
      </c>
    </row>
    <row r="90" spans="1:11" x14ac:dyDescent="0.3">
      <c r="A90" s="2">
        <v>44737.519125683059</v>
      </c>
      <c r="B90" t="s">
        <v>10</v>
      </c>
      <c r="C90" t="s">
        <v>15</v>
      </c>
      <c r="D90" t="s">
        <v>23</v>
      </c>
      <c r="E90">
        <v>96357</v>
      </c>
      <c r="F90">
        <v>31984</v>
      </c>
      <c r="G90">
        <v>93553</v>
      </c>
      <c r="H90" t="s">
        <v>30</v>
      </c>
      <c r="I90" t="s">
        <v>32</v>
      </c>
      <c r="J90" t="s">
        <v>35</v>
      </c>
      <c r="K90">
        <f>YEAR(financeData[[#This Row],[Date]])</f>
        <v>2022</v>
      </c>
    </row>
    <row r="91" spans="1:11" x14ac:dyDescent="0.3">
      <c r="A91" s="2">
        <v>44739.513661202167</v>
      </c>
      <c r="B91" t="s">
        <v>12</v>
      </c>
      <c r="C91" t="s">
        <v>21</v>
      </c>
      <c r="D91" t="s">
        <v>27</v>
      </c>
      <c r="E91">
        <v>141156</v>
      </c>
      <c r="F91">
        <v>75822</v>
      </c>
      <c r="G91">
        <v>20352</v>
      </c>
      <c r="H91" t="s">
        <v>30</v>
      </c>
      <c r="I91" t="s">
        <v>33</v>
      </c>
      <c r="J91" t="s">
        <v>35</v>
      </c>
      <c r="K91">
        <f>YEAR(financeData[[#This Row],[Date]])</f>
        <v>2022</v>
      </c>
    </row>
    <row r="92" spans="1:11" x14ac:dyDescent="0.3">
      <c r="A92" s="2">
        <v>44741.508196721297</v>
      </c>
      <c r="B92" t="s">
        <v>12</v>
      </c>
      <c r="C92" t="s">
        <v>19</v>
      </c>
      <c r="D92" t="s">
        <v>23</v>
      </c>
      <c r="E92">
        <v>149579</v>
      </c>
      <c r="F92">
        <v>7901</v>
      </c>
      <c r="G92">
        <v>38365</v>
      </c>
      <c r="H92" t="s">
        <v>30</v>
      </c>
      <c r="I92" t="s">
        <v>32</v>
      </c>
      <c r="J92" t="s">
        <v>35</v>
      </c>
      <c r="K92">
        <f>YEAR(financeData[[#This Row],[Date]])</f>
        <v>2022</v>
      </c>
    </row>
    <row r="93" spans="1:11" x14ac:dyDescent="0.3">
      <c r="A93" s="2">
        <v>44743.502732240428</v>
      </c>
      <c r="B93" t="s">
        <v>14</v>
      </c>
      <c r="C93" t="s">
        <v>15</v>
      </c>
      <c r="D93" t="s">
        <v>25</v>
      </c>
      <c r="E93">
        <v>88807</v>
      </c>
      <c r="F93">
        <v>33552</v>
      </c>
      <c r="G93">
        <v>24446</v>
      </c>
      <c r="H93" t="s">
        <v>29</v>
      </c>
      <c r="I93" t="s">
        <v>34</v>
      </c>
      <c r="J93" t="s">
        <v>36</v>
      </c>
      <c r="K93">
        <f>YEAR(financeData[[#This Row],[Date]])</f>
        <v>2022</v>
      </c>
    </row>
    <row r="94" spans="1:11" x14ac:dyDescent="0.3">
      <c r="A94" s="2">
        <v>44745.497267759558</v>
      </c>
      <c r="B94" t="s">
        <v>12</v>
      </c>
      <c r="C94" t="s">
        <v>20</v>
      </c>
      <c r="D94" t="s">
        <v>27</v>
      </c>
      <c r="E94">
        <v>120953</v>
      </c>
      <c r="F94">
        <v>93245</v>
      </c>
      <c r="G94">
        <v>7336</v>
      </c>
      <c r="H94" t="s">
        <v>29</v>
      </c>
      <c r="I94" t="s">
        <v>34</v>
      </c>
      <c r="J94" t="s">
        <v>35</v>
      </c>
      <c r="K94">
        <f>YEAR(financeData[[#This Row],[Date]])</f>
        <v>2022</v>
      </c>
    </row>
    <row r="95" spans="1:11" x14ac:dyDescent="0.3">
      <c r="A95" s="2">
        <v>44747.491803278681</v>
      </c>
      <c r="B95" t="s">
        <v>12</v>
      </c>
      <c r="C95" t="s">
        <v>16</v>
      </c>
      <c r="D95" t="s">
        <v>23</v>
      </c>
      <c r="E95">
        <v>143563</v>
      </c>
      <c r="F95">
        <v>33055</v>
      </c>
      <c r="G95">
        <v>67032</v>
      </c>
      <c r="H95" t="s">
        <v>30</v>
      </c>
      <c r="I95" t="s">
        <v>33</v>
      </c>
      <c r="J95" t="s">
        <v>35</v>
      </c>
      <c r="K95">
        <f>YEAR(financeData[[#This Row],[Date]])</f>
        <v>2022</v>
      </c>
    </row>
    <row r="96" spans="1:11" x14ac:dyDescent="0.3">
      <c r="A96" s="2">
        <v>44749.486338797811</v>
      </c>
      <c r="B96" t="s">
        <v>14</v>
      </c>
      <c r="C96" t="s">
        <v>18</v>
      </c>
      <c r="D96" t="s">
        <v>24</v>
      </c>
      <c r="E96">
        <v>128797</v>
      </c>
      <c r="F96">
        <v>39685</v>
      </c>
      <c r="G96">
        <v>80415</v>
      </c>
      <c r="H96" t="s">
        <v>28</v>
      </c>
      <c r="I96" t="s">
        <v>34</v>
      </c>
      <c r="J96" t="s">
        <v>35</v>
      </c>
      <c r="K96">
        <f>YEAR(financeData[[#This Row],[Date]])</f>
        <v>2022</v>
      </c>
    </row>
    <row r="97" spans="1:11" x14ac:dyDescent="0.3">
      <c r="A97" s="2">
        <v>44751.480874316927</v>
      </c>
      <c r="B97" t="s">
        <v>12</v>
      </c>
      <c r="C97" t="s">
        <v>20</v>
      </c>
      <c r="D97" t="s">
        <v>24</v>
      </c>
      <c r="E97">
        <v>68888</v>
      </c>
      <c r="F97">
        <v>75965</v>
      </c>
      <c r="G97">
        <v>102852</v>
      </c>
      <c r="H97" t="s">
        <v>31</v>
      </c>
      <c r="I97" t="s">
        <v>33</v>
      </c>
      <c r="J97" t="s">
        <v>36</v>
      </c>
      <c r="K97">
        <f>YEAR(financeData[[#This Row],[Date]])</f>
        <v>2022</v>
      </c>
    </row>
    <row r="98" spans="1:11" x14ac:dyDescent="0.3">
      <c r="A98" s="2">
        <v>44753.475409836057</v>
      </c>
      <c r="B98" t="s">
        <v>11</v>
      </c>
      <c r="C98" t="s">
        <v>20</v>
      </c>
      <c r="D98" t="s">
        <v>22</v>
      </c>
      <c r="E98">
        <v>78609</v>
      </c>
      <c r="F98">
        <v>16716</v>
      </c>
      <c r="G98">
        <v>103876</v>
      </c>
      <c r="H98" t="s">
        <v>31</v>
      </c>
      <c r="I98" t="s">
        <v>32</v>
      </c>
      <c r="J98" t="s">
        <v>35</v>
      </c>
      <c r="K98">
        <f>YEAR(financeData[[#This Row],[Date]])</f>
        <v>2022</v>
      </c>
    </row>
    <row r="99" spans="1:11" x14ac:dyDescent="0.3">
      <c r="A99" s="2">
        <v>44755.469945355188</v>
      </c>
      <c r="B99" t="s">
        <v>13</v>
      </c>
      <c r="C99" t="s">
        <v>17</v>
      </c>
      <c r="D99" t="s">
        <v>23</v>
      </c>
      <c r="E99">
        <v>14077</v>
      </c>
      <c r="F99">
        <v>13138</v>
      </c>
      <c r="G99">
        <v>12521</v>
      </c>
      <c r="H99" t="s">
        <v>29</v>
      </c>
      <c r="I99" t="s">
        <v>33</v>
      </c>
      <c r="J99" t="s">
        <v>35</v>
      </c>
      <c r="K99">
        <f>YEAR(financeData[[#This Row],[Date]])</f>
        <v>2022</v>
      </c>
    </row>
    <row r="100" spans="1:11" x14ac:dyDescent="0.3">
      <c r="A100" s="2">
        <v>44757.464480874303</v>
      </c>
      <c r="B100" t="s">
        <v>13</v>
      </c>
      <c r="C100" t="s">
        <v>16</v>
      </c>
      <c r="D100" t="s">
        <v>26</v>
      </c>
      <c r="E100">
        <v>25953</v>
      </c>
      <c r="F100">
        <v>37298</v>
      </c>
      <c r="G100">
        <v>76707</v>
      </c>
      <c r="H100" t="s">
        <v>31</v>
      </c>
      <c r="I100" t="s">
        <v>33</v>
      </c>
      <c r="J100" t="s">
        <v>35</v>
      </c>
      <c r="K100">
        <f>YEAR(financeData[[#This Row],[Date]])</f>
        <v>2022</v>
      </c>
    </row>
    <row r="101" spans="1:11" x14ac:dyDescent="0.3">
      <c r="A101" s="2">
        <v>44759.459016393441</v>
      </c>
      <c r="B101" t="s">
        <v>14</v>
      </c>
      <c r="C101" t="s">
        <v>20</v>
      </c>
      <c r="D101" t="s">
        <v>23</v>
      </c>
      <c r="E101">
        <v>119682</v>
      </c>
      <c r="F101">
        <v>53112</v>
      </c>
      <c r="G101">
        <v>28481</v>
      </c>
      <c r="H101" t="s">
        <v>28</v>
      </c>
      <c r="I101" t="s">
        <v>34</v>
      </c>
      <c r="J101" t="s">
        <v>35</v>
      </c>
      <c r="K101">
        <f>YEAR(financeData[[#This Row],[Date]])</f>
        <v>2022</v>
      </c>
    </row>
    <row r="102" spans="1:11" x14ac:dyDescent="0.3">
      <c r="A102" s="2">
        <v>44761.453551912557</v>
      </c>
      <c r="B102" t="s">
        <v>10</v>
      </c>
      <c r="C102" t="s">
        <v>20</v>
      </c>
      <c r="D102" t="s">
        <v>27</v>
      </c>
      <c r="E102">
        <v>72889</v>
      </c>
      <c r="F102">
        <v>25429</v>
      </c>
      <c r="G102">
        <v>23474</v>
      </c>
      <c r="H102" t="s">
        <v>31</v>
      </c>
      <c r="I102" t="s">
        <v>34</v>
      </c>
      <c r="J102" t="s">
        <v>35</v>
      </c>
      <c r="K102">
        <f>YEAR(financeData[[#This Row],[Date]])</f>
        <v>2022</v>
      </c>
    </row>
    <row r="103" spans="1:11" x14ac:dyDescent="0.3">
      <c r="A103" s="2">
        <v>44763.448087431687</v>
      </c>
      <c r="B103" t="s">
        <v>14</v>
      </c>
      <c r="C103" t="s">
        <v>16</v>
      </c>
      <c r="D103" t="s">
        <v>27</v>
      </c>
      <c r="E103">
        <v>120374</v>
      </c>
      <c r="F103">
        <v>52200</v>
      </c>
      <c r="G103">
        <v>51760</v>
      </c>
      <c r="H103" t="s">
        <v>29</v>
      </c>
      <c r="I103" t="s">
        <v>33</v>
      </c>
      <c r="J103" t="s">
        <v>36</v>
      </c>
      <c r="K103">
        <f>YEAR(financeData[[#This Row],[Date]])</f>
        <v>2022</v>
      </c>
    </row>
    <row r="104" spans="1:11" x14ac:dyDescent="0.3">
      <c r="A104" s="2">
        <v>44765.44262295081</v>
      </c>
      <c r="B104" t="s">
        <v>10</v>
      </c>
      <c r="C104" t="s">
        <v>16</v>
      </c>
      <c r="D104" t="s">
        <v>23</v>
      </c>
      <c r="E104">
        <v>29860</v>
      </c>
      <c r="F104">
        <v>73308</v>
      </c>
      <c r="G104">
        <v>60718</v>
      </c>
      <c r="H104" t="s">
        <v>29</v>
      </c>
      <c r="I104" t="s">
        <v>34</v>
      </c>
      <c r="J104" t="s">
        <v>36</v>
      </c>
      <c r="K104">
        <f>YEAR(financeData[[#This Row],[Date]])</f>
        <v>2022</v>
      </c>
    </row>
    <row r="105" spans="1:11" x14ac:dyDescent="0.3">
      <c r="A105" s="2">
        <v>44767.43715846994</v>
      </c>
      <c r="B105" t="s">
        <v>13</v>
      </c>
      <c r="C105" t="s">
        <v>20</v>
      </c>
      <c r="D105" t="s">
        <v>25</v>
      </c>
      <c r="E105">
        <v>82475</v>
      </c>
      <c r="F105">
        <v>50244</v>
      </c>
      <c r="G105">
        <v>49629</v>
      </c>
      <c r="H105" t="s">
        <v>28</v>
      </c>
      <c r="I105" t="s">
        <v>34</v>
      </c>
      <c r="J105" t="s">
        <v>36</v>
      </c>
      <c r="K105">
        <f>YEAR(financeData[[#This Row],[Date]])</f>
        <v>2022</v>
      </c>
    </row>
    <row r="106" spans="1:11" x14ac:dyDescent="0.3">
      <c r="A106" s="2">
        <v>44769.431693989063</v>
      </c>
      <c r="B106" t="s">
        <v>14</v>
      </c>
      <c r="C106" t="s">
        <v>16</v>
      </c>
      <c r="D106" t="s">
        <v>24</v>
      </c>
      <c r="E106">
        <v>92266</v>
      </c>
      <c r="F106">
        <v>19347</v>
      </c>
      <c r="G106">
        <v>50232</v>
      </c>
      <c r="H106" t="s">
        <v>28</v>
      </c>
      <c r="I106" t="s">
        <v>34</v>
      </c>
      <c r="J106" t="s">
        <v>35</v>
      </c>
      <c r="K106">
        <f>YEAR(financeData[[#This Row],[Date]])</f>
        <v>2022</v>
      </c>
    </row>
    <row r="107" spans="1:11" x14ac:dyDescent="0.3">
      <c r="A107" s="2">
        <v>44771.426229508194</v>
      </c>
      <c r="B107" t="s">
        <v>11</v>
      </c>
      <c r="C107" t="s">
        <v>20</v>
      </c>
      <c r="D107" t="s">
        <v>27</v>
      </c>
      <c r="E107">
        <v>105732</v>
      </c>
      <c r="F107">
        <v>18920</v>
      </c>
      <c r="G107">
        <v>91544</v>
      </c>
      <c r="H107" t="s">
        <v>31</v>
      </c>
      <c r="I107" t="s">
        <v>33</v>
      </c>
      <c r="J107" t="s">
        <v>36</v>
      </c>
      <c r="K107">
        <f>YEAR(financeData[[#This Row],[Date]])</f>
        <v>2022</v>
      </c>
    </row>
    <row r="108" spans="1:11" x14ac:dyDescent="0.3">
      <c r="A108" s="2">
        <v>44773.420765027317</v>
      </c>
      <c r="B108" t="s">
        <v>12</v>
      </c>
      <c r="C108" t="s">
        <v>20</v>
      </c>
      <c r="D108" t="s">
        <v>24</v>
      </c>
      <c r="E108">
        <v>32083</v>
      </c>
      <c r="F108">
        <v>33822</v>
      </c>
      <c r="G108">
        <v>72169</v>
      </c>
      <c r="H108" t="s">
        <v>31</v>
      </c>
      <c r="I108" t="s">
        <v>34</v>
      </c>
      <c r="J108" t="s">
        <v>36</v>
      </c>
      <c r="K108">
        <f>YEAR(financeData[[#This Row],[Date]])</f>
        <v>2022</v>
      </c>
    </row>
    <row r="109" spans="1:11" x14ac:dyDescent="0.3">
      <c r="A109" s="2">
        <v>44775.415300546447</v>
      </c>
      <c r="B109" t="s">
        <v>10</v>
      </c>
      <c r="C109" t="s">
        <v>17</v>
      </c>
      <c r="D109" t="s">
        <v>27</v>
      </c>
      <c r="E109">
        <v>62372</v>
      </c>
      <c r="F109">
        <v>48659</v>
      </c>
      <c r="G109">
        <v>55669</v>
      </c>
      <c r="H109" t="s">
        <v>29</v>
      </c>
      <c r="I109" t="s">
        <v>33</v>
      </c>
      <c r="J109" t="s">
        <v>36</v>
      </c>
      <c r="K109">
        <f>YEAR(financeData[[#This Row],[Date]])</f>
        <v>2022</v>
      </c>
    </row>
    <row r="110" spans="1:11" x14ac:dyDescent="0.3">
      <c r="A110" s="2">
        <v>44777.40983606557</v>
      </c>
      <c r="B110" t="s">
        <v>12</v>
      </c>
      <c r="C110" t="s">
        <v>19</v>
      </c>
      <c r="D110" t="s">
        <v>22</v>
      </c>
      <c r="E110">
        <v>128786</v>
      </c>
      <c r="F110">
        <v>42108</v>
      </c>
      <c r="G110">
        <v>83021</v>
      </c>
      <c r="H110" t="s">
        <v>28</v>
      </c>
      <c r="I110" t="s">
        <v>34</v>
      </c>
      <c r="J110" t="s">
        <v>35</v>
      </c>
      <c r="K110">
        <f>YEAR(financeData[[#This Row],[Date]])</f>
        <v>2022</v>
      </c>
    </row>
    <row r="111" spans="1:11" x14ac:dyDescent="0.3">
      <c r="A111" s="2">
        <v>44779.4043715847</v>
      </c>
      <c r="B111" t="s">
        <v>12</v>
      </c>
      <c r="C111" t="s">
        <v>20</v>
      </c>
      <c r="D111" t="s">
        <v>26</v>
      </c>
      <c r="E111">
        <v>12813</v>
      </c>
      <c r="F111">
        <v>91099</v>
      </c>
      <c r="G111">
        <v>114153</v>
      </c>
      <c r="H111" t="s">
        <v>28</v>
      </c>
      <c r="I111" t="s">
        <v>32</v>
      </c>
      <c r="J111" t="s">
        <v>35</v>
      </c>
      <c r="K111">
        <f>YEAR(financeData[[#This Row],[Date]])</f>
        <v>2022</v>
      </c>
    </row>
    <row r="112" spans="1:11" x14ac:dyDescent="0.3">
      <c r="A112" s="2">
        <v>44781.398907103823</v>
      </c>
      <c r="B112" t="s">
        <v>14</v>
      </c>
      <c r="C112" t="s">
        <v>15</v>
      </c>
      <c r="D112" t="s">
        <v>27</v>
      </c>
      <c r="E112">
        <v>36598</v>
      </c>
      <c r="F112">
        <v>9967</v>
      </c>
      <c r="G112">
        <v>74184</v>
      </c>
      <c r="H112" t="s">
        <v>28</v>
      </c>
      <c r="I112" t="s">
        <v>34</v>
      </c>
      <c r="J112" t="s">
        <v>36</v>
      </c>
      <c r="K112">
        <f>YEAR(financeData[[#This Row],[Date]])</f>
        <v>2022</v>
      </c>
    </row>
    <row r="113" spans="1:11" x14ac:dyDescent="0.3">
      <c r="A113" s="2">
        <v>44783.393442622939</v>
      </c>
      <c r="B113" t="s">
        <v>12</v>
      </c>
      <c r="C113" t="s">
        <v>18</v>
      </c>
      <c r="D113" t="s">
        <v>24</v>
      </c>
      <c r="E113">
        <v>98106</v>
      </c>
      <c r="F113">
        <v>13871</v>
      </c>
      <c r="G113">
        <v>52945</v>
      </c>
      <c r="H113" t="s">
        <v>31</v>
      </c>
      <c r="I113" t="s">
        <v>34</v>
      </c>
      <c r="J113" t="s">
        <v>36</v>
      </c>
      <c r="K113">
        <f>YEAR(financeData[[#This Row],[Date]])</f>
        <v>2022</v>
      </c>
    </row>
    <row r="114" spans="1:11" x14ac:dyDescent="0.3">
      <c r="A114" s="2">
        <v>44785.387978142069</v>
      </c>
      <c r="B114" t="s">
        <v>11</v>
      </c>
      <c r="C114" t="s">
        <v>21</v>
      </c>
      <c r="D114" t="s">
        <v>22</v>
      </c>
      <c r="E114">
        <v>32082</v>
      </c>
      <c r="F114">
        <v>96299</v>
      </c>
      <c r="G114">
        <v>18140</v>
      </c>
      <c r="H114" t="s">
        <v>28</v>
      </c>
      <c r="I114" t="s">
        <v>33</v>
      </c>
      <c r="J114" t="s">
        <v>35</v>
      </c>
      <c r="K114">
        <f>YEAR(financeData[[#This Row],[Date]])</f>
        <v>2022</v>
      </c>
    </row>
    <row r="115" spans="1:11" x14ac:dyDescent="0.3">
      <c r="A115" s="2">
        <v>44787.382513661192</v>
      </c>
      <c r="B115" t="s">
        <v>12</v>
      </c>
      <c r="C115" t="s">
        <v>19</v>
      </c>
      <c r="D115" t="s">
        <v>27</v>
      </c>
      <c r="E115">
        <v>34241</v>
      </c>
      <c r="F115">
        <v>79452</v>
      </c>
      <c r="G115">
        <v>88457</v>
      </c>
      <c r="H115" t="s">
        <v>29</v>
      </c>
      <c r="I115" t="s">
        <v>33</v>
      </c>
      <c r="J115" t="s">
        <v>35</v>
      </c>
      <c r="K115">
        <f>YEAR(financeData[[#This Row],[Date]])</f>
        <v>2022</v>
      </c>
    </row>
    <row r="116" spans="1:11" x14ac:dyDescent="0.3">
      <c r="A116" s="2">
        <v>44789.377049180323</v>
      </c>
      <c r="B116" t="s">
        <v>14</v>
      </c>
      <c r="C116" t="s">
        <v>19</v>
      </c>
      <c r="D116" t="s">
        <v>25</v>
      </c>
      <c r="E116">
        <v>16745</v>
      </c>
      <c r="F116">
        <v>76270</v>
      </c>
      <c r="G116">
        <v>19357</v>
      </c>
      <c r="H116" t="s">
        <v>29</v>
      </c>
      <c r="I116" t="s">
        <v>34</v>
      </c>
      <c r="J116" t="s">
        <v>36</v>
      </c>
      <c r="K116">
        <f>YEAR(financeData[[#This Row],[Date]])</f>
        <v>2022</v>
      </c>
    </row>
    <row r="117" spans="1:11" x14ac:dyDescent="0.3">
      <c r="A117" s="2">
        <v>44791.371584699453</v>
      </c>
      <c r="B117" t="s">
        <v>11</v>
      </c>
      <c r="C117" t="s">
        <v>19</v>
      </c>
      <c r="D117" t="s">
        <v>26</v>
      </c>
      <c r="E117">
        <v>31029</v>
      </c>
      <c r="F117">
        <v>35613</v>
      </c>
      <c r="G117">
        <v>116672</v>
      </c>
      <c r="H117" t="s">
        <v>31</v>
      </c>
      <c r="I117" t="s">
        <v>32</v>
      </c>
      <c r="J117" t="s">
        <v>35</v>
      </c>
      <c r="K117">
        <f>YEAR(financeData[[#This Row],[Date]])</f>
        <v>2022</v>
      </c>
    </row>
    <row r="118" spans="1:11" x14ac:dyDescent="0.3">
      <c r="A118" s="2">
        <v>44793.366120218583</v>
      </c>
      <c r="B118" t="s">
        <v>13</v>
      </c>
      <c r="C118" t="s">
        <v>17</v>
      </c>
      <c r="D118" t="s">
        <v>27</v>
      </c>
      <c r="E118">
        <v>149097</v>
      </c>
      <c r="F118">
        <v>30179</v>
      </c>
      <c r="G118">
        <v>73673</v>
      </c>
      <c r="H118" t="s">
        <v>30</v>
      </c>
      <c r="I118" t="s">
        <v>34</v>
      </c>
      <c r="J118" t="s">
        <v>36</v>
      </c>
      <c r="K118">
        <f>YEAR(financeData[[#This Row],[Date]])</f>
        <v>2022</v>
      </c>
    </row>
    <row r="119" spans="1:11" x14ac:dyDescent="0.3">
      <c r="A119" s="2">
        <v>44795.360655737699</v>
      </c>
      <c r="B119" t="s">
        <v>12</v>
      </c>
      <c r="C119" t="s">
        <v>20</v>
      </c>
      <c r="D119" t="s">
        <v>22</v>
      </c>
      <c r="E119">
        <v>128395</v>
      </c>
      <c r="F119">
        <v>54188</v>
      </c>
      <c r="G119">
        <v>70633</v>
      </c>
      <c r="H119" t="s">
        <v>31</v>
      </c>
      <c r="I119" t="s">
        <v>34</v>
      </c>
      <c r="J119" t="s">
        <v>35</v>
      </c>
      <c r="K119">
        <f>YEAR(financeData[[#This Row],[Date]])</f>
        <v>2022</v>
      </c>
    </row>
    <row r="120" spans="1:11" x14ac:dyDescent="0.3">
      <c r="A120" s="2">
        <v>44797.355191256829</v>
      </c>
      <c r="B120" t="s">
        <v>14</v>
      </c>
      <c r="C120" t="s">
        <v>17</v>
      </c>
      <c r="D120" t="s">
        <v>25</v>
      </c>
      <c r="E120">
        <v>94186</v>
      </c>
      <c r="F120">
        <v>57099</v>
      </c>
      <c r="G120">
        <v>81943</v>
      </c>
      <c r="H120" t="s">
        <v>30</v>
      </c>
      <c r="I120" t="s">
        <v>32</v>
      </c>
      <c r="J120" t="s">
        <v>36</v>
      </c>
      <c r="K120">
        <f>YEAR(financeData[[#This Row],[Date]])</f>
        <v>2022</v>
      </c>
    </row>
    <row r="121" spans="1:11" x14ac:dyDescent="0.3">
      <c r="A121" s="2">
        <v>44799.349726775952</v>
      </c>
      <c r="B121" t="s">
        <v>13</v>
      </c>
      <c r="C121" t="s">
        <v>20</v>
      </c>
      <c r="D121" t="s">
        <v>23</v>
      </c>
      <c r="E121">
        <v>142612</v>
      </c>
      <c r="F121">
        <v>37262</v>
      </c>
      <c r="G121">
        <v>101111</v>
      </c>
      <c r="H121" t="s">
        <v>28</v>
      </c>
      <c r="I121" t="s">
        <v>33</v>
      </c>
      <c r="J121" t="s">
        <v>36</v>
      </c>
      <c r="K121">
        <f>YEAR(financeData[[#This Row],[Date]])</f>
        <v>2022</v>
      </c>
    </row>
    <row r="122" spans="1:11" x14ac:dyDescent="0.3">
      <c r="A122" s="2">
        <v>44801.344262295082</v>
      </c>
      <c r="B122" t="s">
        <v>13</v>
      </c>
      <c r="C122" t="s">
        <v>17</v>
      </c>
      <c r="D122" t="s">
        <v>22</v>
      </c>
      <c r="E122">
        <v>102768</v>
      </c>
      <c r="F122">
        <v>80213</v>
      </c>
      <c r="G122">
        <v>83258</v>
      </c>
      <c r="H122" t="s">
        <v>31</v>
      </c>
      <c r="I122" t="s">
        <v>34</v>
      </c>
      <c r="J122" t="s">
        <v>35</v>
      </c>
      <c r="K122">
        <f>YEAR(financeData[[#This Row],[Date]])</f>
        <v>2022</v>
      </c>
    </row>
    <row r="123" spans="1:11" x14ac:dyDescent="0.3">
      <c r="A123" s="2">
        <v>44803.338797814198</v>
      </c>
      <c r="B123" t="s">
        <v>10</v>
      </c>
      <c r="C123" t="s">
        <v>17</v>
      </c>
      <c r="D123" t="s">
        <v>22</v>
      </c>
      <c r="E123">
        <v>46846</v>
      </c>
      <c r="F123">
        <v>20268</v>
      </c>
      <c r="G123">
        <v>17924</v>
      </c>
      <c r="H123" t="s">
        <v>29</v>
      </c>
      <c r="I123" t="s">
        <v>33</v>
      </c>
      <c r="J123" t="s">
        <v>36</v>
      </c>
      <c r="K123">
        <f>YEAR(financeData[[#This Row],[Date]])</f>
        <v>2022</v>
      </c>
    </row>
    <row r="124" spans="1:11" x14ac:dyDescent="0.3">
      <c r="A124" s="2">
        <v>44805.333333333343</v>
      </c>
      <c r="B124" t="s">
        <v>11</v>
      </c>
      <c r="C124" t="s">
        <v>18</v>
      </c>
      <c r="D124" t="s">
        <v>25</v>
      </c>
      <c r="E124">
        <v>80932</v>
      </c>
      <c r="F124">
        <v>79866</v>
      </c>
      <c r="G124">
        <v>74286</v>
      </c>
      <c r="H124" t="s">
        <v>28</v>
      </c>
      <c r="I124" t="s">
        <v>33</v>
      </c>
      <c r="J124" t="s">
        <v>36</v>
      </c>
      <c r="K124">
        <f>YEAR(financeData[[#This Row],[Date]])</f>
        <v>2022</v>
      </c>
    </row>
    <row r="125" spans="1:11" x14ac:dyDescent="0.3">
      <c r="A125" s="2">
        <v>44807.327868852452</v>
      </c>
      <c r="B125" t="s">
        <v>12</v>
      </c>
      <c r="C125" t="s">
        <v>15</v>
      </c>
      <c r="D125" t="s">
        <v>22</v>
      </c>
      <c r="E125">
        <v>28411</v>
      </c>
      <c r="F125">
        <v>88269</v>
      </c>
      <c r="G125">
        <v>98269</v>
      </c>
      <c r="H125" t="s">
        <v>29</v>
      </c>
      <c r="I125" t="s">
        <v>32</v>
      </c>
      <c r="J125" t="s">
        <v>36</v>
      </c>
      <c r="K125">
        <f>YEAR(financeData[[#This Row],[Date]])</f>
        <v>2022</v>
      </c>
    </row>
    <row r="126" spans="1:11" x14ac:dyDescent="0.3">
      <c r="A126" s="2">
        <v>44809.322404371567</v>
      </c>
      <c r="B126" t="s">
        <v>14</v>
      </c>
      <c r="C126" t="s">
        <v>17</v>
      </c>
      <c r="D126" t="s">
        <v>25</v>
      </c>
      <c r="E126">
        <v>83797</v>
      </c>
      <c r="F126">
        <v>62545</v>
      </c>
      <c r="G126">
        <v>79071</v>
      </c>
      <c r="H126" t="s">
        <v>28</v>
      </c>
      <c r="I126" t="s">
        <v>32</v>
      </c>
      <c r="J126" t="s">
        <v>35</v>
      </c>
      <c r="K126">
        <f>YEAR(financeData[[#This Row],[Date]])</f>
        <v>2022</v>
      </c>
    </row>
    <row r="127" spans="1:11" x14ac:dyDescent="0.3">
      <c r="A127" s="2">
        <v>44811.316939890698</v>
      </c>
      <c r="B127" t="s">
        <v>10</v>
      </c>
      <c r="C127" t="s">
        <v>18</v>
      </c>
      <c r="D127" t="s">
        <v>27</v>
      </c>
      <c r="E127">
        <v>57307</v>
      </c>
      <c r="F127">
        <v>94822</v>
      </c>
      <c r="G127">
        <v>62326</v>
      </c>
      <c r="H127" t="s">
        <v>31</v>
      </c>
      <c r="I127" t="s">
        <v>33</v>
      </c>
      <c r="J127" t="s">
        <v>35</v>
      </c>
      <c r="K127">
        <f>YEAR(financeData[[#This Row],[Date]])</f>
        <v>2022</v>
      </c>
    </row>
    <row r="128" spans="1:11" x14ac:dyDescent="0.3">
      <c r="A128" s="2">
        <v>44813.311475409828</v>
      </c>
      <c r="B128" t="s">
        <v>11</v>
      </c>
      <c r="C128" t="s">
        <v>16</v>
      </c>
      <c r="D128" t="s">
        <v>25</v>
      </c>
      <c r="E128">
        <v>139165</v>
      </c>
      <c r="F128">
        <v>74146</v>
      </c>
      <c r="G128">
        <v>95023</v>
      </c>
      <c r="H128" t="s">
        <v>30</v>
      </c>
      <c r="I128" t="s">
        <v>34</v>
      </c>
      <c r="J128" t="s">
        <v>35</v>
      </c>
      <c r="K128">
        <f>YEAR(financeData[[#This Row],[Date]])</f>
        <v>2022</v>
      </c>
    </row>
    <row r="129" spans="1:11" x14ac:dyDescent="0.3">
      <c r="A129" s="2">
        <v>44815.306010928958</v>
      </c>
      <c r="B129" t="s">
        <v>10</v>
      </c>
      <c r="C129" t="s">
        <v>15</v>
      </c>
      <c r="D129" t="s">
        <v>25</v>
      </c>
      <c r="E129">
        <v>27042</v>
      </c>
      <c r="F129">
        <v>73966</v>
      </c>
      <c r="G129">
        <v>35651</v>
      </c>
      <c r="H129" t="s">
        <v>28</v>
      </c>
      <c r="I129" t="s">
        <v>33</v>
      </c>
      <c r="J129" t="s">
        <v>36</v>
      </c>
      <c r="K129">
        <f>YEAR(financeData[[#This Row],[Date]])</f>
        <v>2022</v>
      </c>
    </row>
    <row r="130" spans="1:11" x14ac:dyDescent="0.3">
      <c r="A130" s="2">
        <v>44817.300546448081</v>
      </c>
      <c r="B130" t="s">
        <v>11</v>
      </c>
      <c r="C130" t="s">
        <v>17</v>
      </c>
      <c r="D130" t="s">
        <v>26</v>
      </c>
      <c r="E130">
        <v>57930</v>
      </c>
      <c r="F130">
        <v>41922</v>
      </c>
      <c r="G130">
        <v>75202</v>
      </c>
      <c r="H130" t="s">
        <v>30</v>
      </c>
      <c r="I130" t="s">
        <v>34</v>
      </c>
      <c r="J130" t="s">
        <v>35</v>
      </c>
      <c r="K130">
        <f>YEAR(financeData[[#This Row],[Date]])</f>
        <v>2022</v>
      </c>
    </row>
    <row r="131" spans="1:11" x14ac:dyDescent="0.3">
      <c r="A131" s="2">
        <v>44819.295081967211</v>
      </c>
      <c r="B131" t="s">
        <v>11</v>
      </c>
      <c r="C131" t="s">
        <v>21</v>
      </c>
      <c r="D131" t="s">
        <v>25</v>
      </c>
      <c r="E131">
        <v>102883</v>
      </c>
      <c r="F131">
        <v>81364</v>
      </c>
      <c r="G131">
        <v>53777</v>
      </c>
      <c r="H131" t="s">
        <v>28</v>
      </c>
      <c r="I131" t="s">
        <v>34</v>
      </c>
      <c r="J131" t="s">
        <v>36</v>
      </c>
      <c r="K131">
        <f>YEAR(financeData[[#This Row],[Date]])</f>
        <v>2022</v>
      </c>
    </row>
    <row r="132" spans="1:11" x14ac:dyDescent="0.3">
      <c r="A132" s="2">
        <v>44821.289617486327</v>
      </c>
      <c r="B132" t="s">
        <v>12</v>
      </c>
      <c r="C132" t="s">
        <v>19</v>
      </c>
      <c r="D132" t="s">
        <v>25</v>
      </c>
      <c r="E132">
        <v>38756</v>
      </c>
      <c r="F132">
        <v>44913</v>
      </c>
      <c r="G132">
        <v>21994</v>
      </c>
      <c r="H132" t="s">
        <v>29</v>
      </c>
      <c r="I132" t="s">
        <v>32</v>
      </c>
      <c r="J132" t="s">
        <v>36</v>
      </c>
      <c r="K132">
        <f>YEAR(financeData[[#This Row],[Date]])</f>
        <v>2022</v>
      </c>
    </row>
    <row r="133" spans="1:11" x14ac:dyDescent="0.3">
      <c r="A133" s="2">
        <v>44823.284153005457</v>
      </c>
      <c r="B133" t="s">
        <v>11</v>
      </c>
      <c r="C133" t="s">
        <v>16</v>
      </c>
      <c r="D133" t="s">
        <v>23</v>
      </c>
      <c r="E133">
        <v>58268</v>
      </c>
      <c r="F133">
        <v>99033</v>
      </c>
      <c r="G133">
        <v>72263</v>
      </c>
      <c r="H133" t="s">
        <v>29</v>
      </c>
      <c r="I133" t="s">
        <v>34</v>
      </c>
      <c r="J133" t="s">
        <v>35</v>
      </c>
      <c r="K133">
        <f>YEAR(financeData[[#This Row],[Date]])</f>
        <v>2022</v>
      </c>
    </row>
    <row r="134" spans="1:11" x14ac:dyDescent="0.3">
      <c r="A134" s="2">
        <v>44825.278688524581</v>
      </c>
      <c r="B134" t="s">
        <v>10</v>
      </c>
      <c r="C134" t="s">
        <v>16</v>
      </c>
      <c r="D134" t="s">
        <v>27</v>
      </c>
      <c r="E134">
        <v>53901</v>
      </c>
      <c r="F134">
        <v>57677</v>
      </c>
      <c r="G134">
        <v>64634</v>
      </c>
      <c r="H134" t="s">
        <v>28</v>
      </c>
      <c r="I134" t="s">
        <v>34</v>
      </c>
      <c r="J134" t="s">
        <v>35</v>
      </c>
      <c r="K134">
        <f>YEAR(financeData[[#This Row],[Date]])</f>
        <v>2022</v>
      </c>
    </row>
    <row r="135" spans="1:11" x14ac:dyDescent="0.3">
      <c r="A135" s="2">
        <v>44827.273224043718</v>
      </c>
      <c r="B135" t="s">
        <v>11</v>
      </c>
      <c r="C135" t="s">
        <v>18</v>
      </c>
      <c r="D135" t="s">
        <v>26</v>
      </c>
      <c r="E135">
        <v>104986</v>
      </c>
      <c r="F135">
        <v>51841</v>
      </c>
      <c r="G135">
        <v>105158</v>
      </c>
      <c r="H135" t="s">
        <v>30</v>
      </c>
      <c r="I135" t="s">
        <v>33</v>
      </c>
      <c r="J135" t="s">
        <v>36</v>
      </c>
      <c r="K135">
        <f>YEAR(financeData[[#This Row],[Date]])</f>
        <v>2022</v>
      </c>
    </row>
    <row r="136" spans="1:11" x14ac:dyDescent="0.3">
      <c r="A136" s="2">
        <v>44829.267759562827</v>
      </c>
      <c r="B136" t="s">
        <v>12</v>
      </c>
      <c r="C136" t="s">
        <v>16</v>
      </c>
      <c r="D136" t="s">
        <v>23</v>
      </c>
      <c r="E136">
        <v>133386</v>
      </c>
      <c r="F136">
        <v>48332</v>
      </c>
      <c r="G136">
        <v>15800</v>
      </c>
      <c r="H136" t="s">
        <v>31</v>
      </c>
      <c r="I136" t="s">
        <v>32</v>
      </c>
      <c r="J136" t="s">
        <v>36</v>
      </c>
      <c r="K136">
        <f>YEAR(financeData[[#This Row],[Date]])</f>
        <v>2022</v>
      </c>
    </row>
    <row r="137" spans="1:11" x14ac:dyDescent="0.3">
      <c r="A137" s="2">
        <v>44831.262295081957</v>
      </c>
      <c r="B137" t="s">
        <v>12</v>
      </c>
      <c r="C137" t="s">
        <v>15</v>
      </c>
      <c r="D137" t="s">
        <v>24</v>
      </c>
      <c r="E137">
        <v>10626</v>
      </c>
      <c r="F137">
        <v>94062</v>
      </c>
      <c r="G137">
        <v>42823</v>
      </c>
      <c r="H137" t="s">
        <v>31</v>
      </c>
      <c r="I137" t="s">
        <v>34</v>
      </c>
      <c r="J137" t="s">
        <v>35</v>
      </c>
      <c r="K137">
        <f>YEAR(financeData[[#This Row],[Date]])</f>
        <v>2022</v>
      </c>
    </row>
    <row r="138" spans="1:11" x14ac:dyDescent="0.3">
      <c r="A138" s="2">
        <v>44833.256830601087</v>
      </c>
      <c r="B138" t="s">
        <v>10</v>
      </c>
      <c r="C138" t="s">
        <v>17</v>
      </c>
      <c r="D138" t="s">
        <v>27</v>
      </c>
      <c r="E138">
        <v>143496</v>
      </c>
      <c r="F138">
        <v>97694</v>
      </c>
      <c r="G138">
        <v>113575</v>
      </c>
      <c r="H138" t="s">
        <v>29</v>
      </c>
      <c r="I138" t="s">
        <v>34</v>
      </c>
      <c r="J138" t="s">
        <v>35</v>
      </c>
      <c r="K138">
        <f>YEAR(financeData[[#This Row],[Date]])</f>
        <v>2022</v>
      </c>
    </row>
    <row r="139" spans="1:11" x14ac:dyDescent="0.3">
      <c r="A139" s="2">
        <v>44835.25136612021</v>
      </c>
      <c r="B139" t="s">
        <v>13</v>
      </c>
      <c r="C139" t="s">
        <v>17</v>
      </c>
      <c r="D139" t="s">
        <v>27</v>
      </c>
      <c r="E139">
        <v>17857</v>
      </c>
      <c r="F139">
        <v>27032</v>
      </c>
      <c r="G139">
        <v>68878</v>
      </c>
      <c r="H139" t="s">
        <v>31</v>
      </c>
      <c r="I139" t="s">
        <v>32</v>
      </c>
      <c r="J139" t="s">
        <v>35</v>
      </c>
      <c r="K139">
        <f>YEAR(financeData[[#This Row],[Date]])</f>
        <v>2022</v>
      </c>
    </row>
    <row r="140" spans="1:11" x14ac:dyDescent="0.3">
      <c r="A140" s="2">
        <v>44837.24590163934</v>
      </c>
      <c r="B140" t="s">
        <v>13</v>
      </c>
      <c r="C140" t="s">
        <v>21</v>
      </c>
      <c r="D140" t="s">
        <v>24</v>
      </c>
      <c r="E140">
        <v>138052</v>
      </c>
      <c r="F140">
        <v>39846</v>
      </c>
      <c r="G140">
        <v>23708</v>
      </c>
      <c r="H140" t="s">
        <v>29</v>
      </c>
      <c r="I140" t="s">
        <v>33</v>
      </c>
      <c r="J140" t="s">
        <v>36</v>
      </c>
      <c r="K140">
        <f>YEAR(financeData[[#This Row],[Date]])</f>
        <v>2022</v>
      </c>
    </row>
    <row r="141" spans="1:11" x14ac:dyDescent="0.3">
      <c r="A141" s="2">
        <v>44839.240437158463</v>
      </c>
      <c r="B141" t="s">
        <v>11</v>
      </c>
      <c r="C141" t="s">
        <v>19</v>
      </c>
      <c r="D141" t="s">
        <v>25</v>
      </c>
      <c r="E141">
        <v>31431</v>
      </c>
      <c r="F141">
        <v>61474</v>
      </c>
      <c r="G141">
        <v>17819</v>
      </c>
      <c r="H141" t="s">
        <v>31</v>
      </c>
      <c r="I141" t="s">
        <v>32</v>
      </c>
      <c r="J141" t="s">
        <v>36</v>
      </c>
      <c r="K141">
        <f>YEAR(financeData[[#This Row],[Date]])</f>
        <v>2022</v>
      </c>
    </row>
    <row r="142" spans="1:11" x14ac:dyDescent="0.3">
      <c r="A142" s="2">
        <v>44841.234972677586</v>
      </c>
      <c r="B142" t="s">
        <v>14</v>
      </c>
      <c r="C142" t="s">
        <v>18</v>
      </c>
      <c r="D142" t="s">
        <v>23</v>
      </c>
      <c r="E142">
        <v>89976</v>
      </c>
      <c r="F142">
        <v>46936</v>
      </c>
      <c r="G142">
        <v>79905</v>
      </c>
      <c r="H142" t="s">
        <v>28</v>
      </c>
      <c r="I142" t="s">
        <v>32</v>
      </c>
      <c r="J142" t="s">
        <v>36</v>
      </c>
      <c r="K142">
        <f>YEAR(financeData[[#This Row],[Date]])</f>
        <v>2022</v>
      </c>
    </row>
    <row r="143" spans="1:11" x14ac:dyDescent="0.3">
      <c r="A143" s="2">
        <v>44843.22950819671</v>
      </c>
      <c r="B143" t="s">
        <v>11</v>
      </c>
      <c r="C143" t="s">
        <v>19</v>
      </c>
      <c r="D143" t="s">
        <v>22</v>
      </c>
      <c r="E143">
        <v>87711</v>
      </c>
      <c r="F143">
        <v>31794</v>
      </c>
      <c r="G143">
        <v>68870</v>
      </c>
      <c r="H143" t="s">
        <v>29</v>
      </c>
      <c r="I143" t="s">
        <v>34</v>
      </c>
      <c r="J143" t="s">
        <v>36</v>
      </c>
      <c r="K143">
        <f>YEAR(financeData[[#This Row],[Date]])</f>
        <v>2022</v>
      </c>
    </row>
    <row r="144" spans="1:11" x14ac:dyDescent="0.3">
      <c r="A144" s="2">
        <v>44845.224043715847</v>
      </c>
      <c r="B144" t="s">
        <v>10</v>
      </c>
      <c r="C144" t="s">
        <v>16</v>
      </c>
      <c r="D144" t="s">
        <v>26</v>
      </c>
      <c r="E144">
        <v>31385</v>
      </c>
      <c r="F144">
        <v>63588</v>
      </c>
      <c r="G144">
        <v>14283</v>
      </c>
      <c r="H144" t="s">
        <v>29</v>
      </c>
      <c r="I144" t="s">
        <v>34</v>
      </c>
      <c r="J144" t="s">
        <v>36</v>
      </c>
      <c r="K144">
        <f>YEAR(financeData[[#This Row],[Date]])</f>
        <v>2022</v>
      </c>
    </row>
    <row r="145" spans="1:11" x14ac:dyDescent="0.3">
      <c r="A145" s="2">
        <v>44847.218579234963</v>
      </c>
      <c r="B145" t="s">
        <v>10</v>
      </c>
      <c r="C145" t="s">
        <v>21</v>
      </c>
      <c r="D145" t="s">
        <v>22</v>
      </c>
      <c r="E145">
        <v>23639</v>
      </c>
      <c r="F145">
        <v>72984</v>
      </c>
      <c r="G145">
        <v>35573</v>
      </c>
      <c r="H145" t="s">
        <v>28</v>
      </c>
      <c r="I145" t="s">
        <v>33</v>
      </c>
      <c r="J145" t="s">
        <v>35</v>
      </c>
      <c r="K145">
        <f>YEAR(financeData[[#This Row],[Date]])</f>
        <v>2022</v>
      </c>
    </row>
    <row r="146" spans="1:11" x14ac:dyDescent="0.3">
      <c r="A146" s="2">
        <v>44849.2131147541</v>
      </c>
      <c r="B146" t="s">
        <v>10</v>
      </c>
      <c r="C146" t="s">
        <v>19</v>
      </c>
      <c r="D146" t="s">
        <v>24</v>
      </c>
      <c r="E146">
        <v>90530</v>
      </c>
      <c r="F146">
        <v>52331</v>
      </c>
      <c r="G146">
        <v>83707</v>
      </c>
      <c r="H146" t="s">
        <v>29</v>
      </c>
      <c r="I146" t="s">
        <v>34</v>
      </c>
      <c r="J146" t="s">
        <v>35</v>
      </c>
      <c r="K146">
        <f>YEAR(financeData[[#This Row],[Date]])</f>
        <v>2022</v>
      </c>
    </row>
    <row r="147" spans="1:11" x14ac:dyDescent="0.3">
      <c r="A147" s="2">
        <v>44851.207650273223</v>
      </c>
      <c r="B147" t="s">
        <v>10</v>
      </c>
      <c r="C147" t="s">
        <v>15</v>
      </c>
      <c r="D147" t="s">
        <v>27</v>
      </c>
      <c r="E147">
        <v>26563</v>
      </c>
      <c r="F147">
        <v>96397</v>
      </c>
      <c r="G147">
        <v>35933</v>
      </c>
      <c r="H147" t="s">
        <v>31</v>
      </c>
      <c r="I147" t="s">
        <v>34</v>
      </c>
      <c r="J147" t="s">
        <v>36</v>
      </c>
      <c r="K147">
        <f>YEAR(financeData[[#This Row],[Date]])</f>
        <v>2022</v>
      </c>
    </row>
    <row r="148" spans="1:11" x14ac:dyDescent="0.3">
      <c r="A148" s="2">
        <v>44853.202185792346</v>
      </c>
      <c r="B148" t="s">
        <v>10</v>
      </c>
      <c r="C148" t="s">
        <v>17</v>
      </c>
      <c r="D148" t="s">
        <v>27</v>
      </c>
      <c r="E148">
        <v>120672</v>
      </c>
      <c r="F148">
        <v>30141</v>
      </c>
      <c r="G148">
        <v>10774</v>
      </c>
      <c r="H148" t="s">
        <v>31</v>
      </c>
      <c r="I148" t="s">
        <v>32</v>
      </c>
      <c r="J148" t="s">
        <v>36</v>
      </c>
      <c r="K148">
        <f>YEAR(financeData[[#This Row],[Date]])</f>
        <v>2022</v>
      </c>
    </row>
    <row r="149" spans="1:11" x14ac:dyDescent="0.3">
      <c r="A149" s="2">
        <v>44855.196721311469</v>
      </c>
      <c r="B149" t="s">
        <v>12</v>
      </c>
      <c r="C149" t="s">
        <v>16</v>
      </c>
      <c r="D149" t="s">
        <v>26</v>
      </c>
      <c r="E149">
        <v>141848</v>
      </c>
      <c r="F149">
        <v>11074</v>
      </c>
      <c r="G149">
        <v>77055</v>
      </c>
      <c r="H149" t="s">
        <v>29</v>
      </c>
      <c r="I149" t="s">
        <v>34</v>
      </c>
      <c r="J149" t="s">
        <v>35</v>
      </c>
      <c r="K149">
        <f>YEAR(financeData[[#This Row],[Date]])</f>
        <v>2022</v>
      </c>
    </row>
    <row r="150" spans="1:11" x14ac:dyDescent="0.3">
      <c r="A150" s="2">
        <v>44857.191256830592</v>
      </c>
      <c r="B150" t="s">
        <v>13</v>
      </c>
      <c r="C150" t="s">
        <v>21</v>
      </c>
      <c r="D150" t="s">
        <v>27</v>
      </c>
      <c r="E150">
        <v>144783</v>
      </c>
      <c r="F150">
        <v>8406</v>
      </c>
      <c r="G150">
        <v>15983</v>
      </c>
      <c r="H150" t="s">
        <v>31</v>
      </c>
      <c r="I150" t="s">
        <v>33</v>
      </c>
      <c r="J150" t="s">
        <v>35</v>
      </c>
      <c r="K150">
        <f>YEAR(financeData[[#This Row],[Date]])</f>
        <v>2022</v>
      </c>
    </row>
    <row r="151" spans="1:11" x14ac:dyDescent="0.3">
      <c r="A151" s="2">
        <v>44859.185792349723</v>
      </c>
      <c r="B151" t="s">
        <v>10</v>
      </c>
      <c r="C151" t="s">
        <v>19</v>
      </c>
      <c r="D151" t="s">
        <v>27</v>
      </c>
      <c r="E151">
        <v>87970</v>
      </c>
      <c r="F151">
        <v>99359</v>
      </c>
      <c r="G151">
        <v>101468</v>
      </c>
      <c r="H151" t="s">
        <v>30</v>
      </c>
      <c r="I151" t="s">
        <v>32</v>
      </c>
      <c r="J151" t="s">
        <v>35</v>
      </c>
      <c r="K151">
        <f>YEAR(financeData[[#This Row],[Date]])</f>
        <v>2022</v>
      </c>
    </row>
    <row r="152" spans="1:11" x14ac:dyDescent="0.3">
      <c r="A152" s="2">
        <v>44861.180327868853</v>
      </c>
      <c r="B152" t="s">
        <v>14</v>
      </c>
      <c r="C152" t="s">
        <v>18</v>
      </c>
      <c r="D152" t="s">
        <v>26</v>
      </c>
      <c r="E152">
        <v>90553</v>
      </c>
      <c r="F152">
        <v>25291</v>
      </c>
      <c r="G152">
        <v>101334</v>
      </c>
      <c r="H152" t="s">
        <v>29</v>
      </c>
      <c r="I152" t="s">
        <v>33</v>
      </c>
      <c r="J152" t="s">
        <v>35</v>
      </c>
      <c r="K152">
        <f>YEAR(financeData[[#This Row],[Date]])</f>
        <v>2022</v>
      </c>
    </row>
    <row r="153" spans="1:11" x14ac:dyDescent="0.3">
      <c r="A153" s="2">
        <v>44863.174863387983</v>
      </c>
      <c r="B153" t="s">
        <v>14</v>
      </c>
      <c r="C153" t="s">
        <v>15</v>
      </c>
      <c r="D153" t="s">
        <v>23</v>
      </c>
      <c r="E153">
        <v>87879</v>
      </c>
      <c r="F153">
        <v>43568</v>
      </c>
      <c r="G153">
        <v>23133</v>
      </c>
      <c r="H153" t="s">
        <v>28</v>
      </c>
      <c r="I153" t="s">
        <v>32</v>
      </c>
      <c r="J153" t="s">
        <v>36</v>
      </c>
      <c r="K153">
        <f>YEAR(financeData[[#This Row],[Date]])</f>
        <v>2022</v>
      </c>
    </row>
    <row r="154" spans="1:11" x14ac:dyDescent="0.3">
      <c r="A154" s="2">
        <v>44865.169398907092</v>
      </c>
      <c r="B154" t="s">
        <v>14</v>
      </c>
      <c r="C154" t="s">
        <v>15</v>
      </c>
      <c r="D154" t="s">
        <v>23</v>
      </c>
      <c r="E154">
        <v>141727</v>
      </c>
      <c r="F154">
        <v>99539</v>
      </c>
      <c r="G154">
        <v>19939</v>
      </c>
      <c r="H154" t="s">
        <v>30</v>
      </c>
      <c r="I154" t="s">
        <v>34</v>
      </c>
      <c r="J154" t="s">
        <v>35</v>
      </c>
      <c r="K154">
        <f>YEAR(financeData[[#This Row],[Date]])</f>
        <v>2022</v>
      </c>
    </row>
    <row r="155" spans="1:11" x14ac:dyDescent="0.3">
      <c r="A155" s="2">
        <v>44867.163934426229</v>
      </c>
      <c r="B155" t="s">
        <v>14</v>
      </c>
      <c r="C155" t="s">
        <v>19</v>
      </c>
      <c r="D155" t="s">
        <v>26</v>
      </c>
      <c r="E155">
        <v>49859</v>
      </c>
      <c r="F155">
        <v>48851</v>
      </c>
      <c r="G155">
        <v>5781</v>
      </c>
      <c r="H155" t="s">
        <v>29</v>
      </c>
      <c r="I155" t="s">
        <v>32</v>
      </c>
      <c r="J155" t="s">
        <v>36</v>
      </c>
      <c r="K155">
        <f>YEAR(financeData[[#This Row],[Date]])</f>
        <v>2022</v>
      </c>
    </row>
    <row r="156" spans="1:11" x14ac:dyDescent="0.3">
      <c r="A156" s="2">
        <v>44869.158469945352</v>
      </c>
      <c r="B156" t="s">
        <v>12</v>
      </c>
      <c r="C156" t="s">
        <v>17</v>
      </c>
      <c r="D156" t="s">
        <v>24</v>
      </c>
      <c r="E156">
        <v>57098</v>
      </c>
      <c r="F156">
        <v>56823</v>
      </c>
      <c r="G156">
        <v>119586</v>
      </c>
      <c r="H156" t="s">
        <v>28</v>
      </c>
      <c r="I156" t="s">
        <v>32</v>
      </c>
      <c r="J156" t="s">
        <v>35</v>
      </c>
      <c r="K156">
        <f>YEAR(financeData[[#This Row],[Date]])</f>
        <v>2022</v>
      </c>
    </row>
    <row r="157" spans="1:11" x14ac:dyDescent="0.3">
      <c r="A157" s="2">
        <v>44871.153005464483</v>
      </c>
      <c r="B157" t="s">
        <v>14</v>
      </c>
      <c r="C157" t="s">
        <v>19</v>
      </c>
      <c r="D157" t="s">
        <v>27</v>
      </c>
      <c r="E157">
        <v>127413</v>
      </c>
      <c r="F157">
        <v>25312</v>
      </c>
      <c r="G157">
        <v>61700</v>
      </c>
      <c r="H157" t="s">
        <v>31</v>
      </c>
      <c r="I157" t="s">
        <v>34</v>
      </c>
      <c r="J157" t="s">
        <v>35</v>
      </c>
      <c r="K157">
        <f>YEAR(financeData[[#This Row],[Date]])</f>
        <v>2022</v>
      </c>
    </row>
    <row r="158" spans="1:11" x14ac:dyDescent="0.3">
      <c r="A158" s="2">
        <v>44873.147540983598</v>
      </c>
      <c r="B158" t="s">
        <v>10</v>
      </c>
      <c r="C158" t="s">
        <v>16</v>
      </c>
      <c r="D158" t="s">
        <v>27</v>
      </c>
      <c r="E158">
        <v>5526</v>
      </c>
      <c r="F158">
        <v>45108</v>
      </c>
      <c r="G158">
        <v>32624</v>
      </c>
      <c r="H158" t="s">
        <v>28</v>
      </c>
      <c r="I158" t="s">
        <v>34</v>
      </c>
      <c r="J158" t="s">
        <v>35</v>
      </c>
      <c r="K158">
        <f>YEAR(financeData[[#This Row],[Date]])</f>
        <v>2022</v>
      </c>
    </row>
    <row r="159" spans="1:11" x14ac:dyDescent="0.3">
      <c r="A159" s="2">
        <v>44875.142076502729</v>
      </c>
      <c r="B159" t="s">
        <v>11</v>
      </c>
      <c r="C159" t="s">
        <v>19</v>
      </c>
      <c r="D159" t="s">
        <v>24</v>
      </c>
      <c r="E159">
        <v>73760</v>
      </c>
      <c r="F159">
        <v>68918</v>
      </c>
      <c r="G159">
        <v>11823</v>
      </c>
      <c r="H159" t="s">
        <v>30</v>
      </c>
      <c r="I159" t="s">
        <v>33</v>
      </c>
      <c r="J159" t="s">
        <v>36</v>
      </c>
      <c r="K159">
        <f>YEAR(financeData[[#This Row],[Date]])</f>
        <v>2022</v>
      </c>
    </row>
    <row r="160" spans="1:11" x14ac:dyDescent="0.3">
      <c r="A160" s="2">
        <v>44877.136612021852</v>
      </c>
      <c r="B160" t="s">
        <v>14</v>
      </c>
      <c r="C160" t="s">
        <v>15</v>
      </c>
      <c r="D160" t="s">
        <v>23</v>
      </c>
      <c r="E160">
        <v>52837</v>
      </c>
      <c r="F160">
        <v>36171</v>
      </c>
      <c r="G160">
        <v>23489</v>
      </c>
      <c r="H160" t="s">
        <v>31</v>
      </c>
      <c r="I160" t="s">
        <v>33</v>
      </c>
      <c r="J160" t="s">
        <v>36</v>
      </c>
      <c r="K160">
        <f>YEAR(financeData[[#This Row],[Date]])</f>
        <v>2022</v>
      </c>
    </row>
    <row r="161" spans="1:11" x14ac:dyDescent="0.3">
      <c r="A161" s="2">
        <v>44879.131147540968</v>
      </c>
      <c r="B161" t="s">
        <v>12</v>
      </c>
      <c r="C161" t="s">
        <v>21</v>
      </c>
      <c r="D161" t="s">
        <v>25</v>
      </c>
      <c r="E161">
        <v>16536</v>
      </c>
      <c r="F161">
        <v>43779</v>
      </c>
      <c r="G161">
        <v>44961</v>
      </c>
      <c r="H161" t="s">
        <v>29</v>
      </c>
      <c r="I161" t="s">
        <v>34</v>
      </c>
      <c r="J161" t="s">
        <v>35</v>
      </c>
      <c r="K161">
        <f>YEAR(financeData[[#This Row],[Date]])</f>
        <v>2022</v>
      </c>
    </row>
    <row r="162" spans="1:11" x14ac:dyDescent="0.3">
      <c r="A162" s="2">
        <v>44881.125683060112</v>
      </c>
      <c r="B162" t="s">
        <v>12</v>
      </c>
      <c r="C162" t="s">
        <v>19</v>
      </c>
      <c r="D162" t="s">
        <v>25</v>
      </c>
      <c r="E162">
        <v>33541</v>
      </c>
      <c r="F162">
        <v>70828</v>
      </c>
      <c r="G162">
        <v>34118</v>
      </c>
      <c r="H162" t="s">
        <v>31</v>
      </c>
      <c r="I162" t="s">
        <v>34</v>
      </c>
      <c r="J162" t="s">
        <v>36</v>
      </c>
      <c r="K162">
        <f>YEAR(financeData[[#This Row],[Date]])</f>
        <v>2022</v>
      </c>
    </row>
    <row r="163" spans="1:11" x14ac:dyDescent="0.3">
      <c r="A163" s="2">
        <v>44883.120218579228</v>
      </c>
      <c r="B163" t="s">
        <v>14</v>
      </c>
      <c r="C163" t="s">
        <v>17</v>
      </c>
      <c r="D163" t="s">
        <v>25</v>
      </c>
      <c r="E163">
        <v>84083</v>
      </c>
      <c r="F163">
        <v>14411</v>
      </c>
      <c r="G163">
        <v>105417</v>
      </c>
      <c r="H163" t="s">
        <v>29</v>
      </c>
      <c r="I163" t="s">
        <v>34</v>
      </c>
      <c r="J163" t="s">
        <v>36</v>
      </c>
      <c r="K163">
        <f>YEAR(financeData[[#This Row],[Date]])</f>
        <v>2022</v>
      </c>
    </row>
    <row r="164" spans="1:11" x14ac:dyDescent="0.3">
      <c r="A164" s="2">
        <v>44885.114754098358</v>
      </c>
      <c r="B164" t="s">
        <v>11</v>
      </c>
      <c r="C164" t="s">
        <v>21</v>
      </c>
      <c r="D164" t="s">
        <v>23</v>
      </c>
      <c r="E164">
        <v>39531</v>
      </c>
      <c r="F164">
        <v>59009</v>
      </c>
      <c r="G164">
        <v>86816</v>
      </c>
      <c r="H164" t="s">
        <v>29</v>
      </c>
      <c r="I164" t="s">
        <v>32</v>
      </c>
      <c r="J164" t="s">
        <v>35</v>
      </c>
      <c r="K164">
        <f>YEAR(financeData[[#This Row],[Date]])</f>
        <v>2022</v>
      </c>
    </row>
    <row r="165" spans="1:11" x14ac:dyDescent="0.3">
      <c r="A165" s="2">
        <v>44887.109289617467</v>
      </c>
      <c r="B165" t="s">
        <v>14</v>
      </c>
      <c r="C165" t="s">
        <v>18</v>
      </c>
      <c r="D165" t="s">
        <v>23</v>
      </c>
      <c r="E165">
        <v>13712</v>
      </c>
      <c r="F165">
        <v>17422</v>
      </c>
      <c r="G165">
        <v>27263</v>
      </c>
      <c r="H165" t="s">
        <v>28</v>
      </c>
      <c r="I165" t="s">
        <v>32</v>
      </c>
      <c r="J165" t="s">
        <v>35</v>
      </c>
      <c r="K165">
        <f>YEAR(financeData[[#This Row],[Date]])</f>
        <v>2022</v>
      </c>
    </row>
    <row r="166" spans="1:11" x14ac:dyDescent="0.3">
      <c r="A166" s="2">
        <v>44889.103825136612</v>
      </c>
      <c r="B166" t="s">
        <v>12</v>
      </c>
      <c r="C166" t="s">
        <v>20</v>
      </c>
      <c r="D166" t="s">
        <v>24</v>
      </c>
      <c r="E166">
        <v>109101</v>
      </c>
      <c r="F166">
        <v>44468</v>
      </c>
      <c r="G166">
        <v>18565</v>
      </c>
      <c r="H166" t="s">
        <v>28</v>
      </c>
      <c r="I166" t="s">
        <v>32</v>
      </c>
      <c r="J166" t="s">
        <v>36</v>
      </c>
      <c r="K166">
        <f>YEAR(financeData[[#This Row],[Date]])</f>
        <v>2022</v>
      </c>
    </row>
    <row r="167" spans="1:11" x14ac:dyDescent="0.3">
      <c r="A167" s="2">
        <v>44891.098360655727</v>
      </c>
      <c r="B167" t="s">
        <v>13</v>
      </c>
      <c r="C167" t="s">
        <v>19</v>
      </c>
      <c r="D167" t="s">
        <v>27</v>
      </c>
      <c r="E167">
        <v>70455</v>
      </c>
      <c r="F167">
        <v>34371</v>
      </c>
      <c r="G167">
        <v>25354</v>
      </c>
      <c r="H167" t="s">
        <v>28</v>
      </c>
      <c r="I167" t="s">
        <v>34</v>
      </c>
      <c r="J167" t="s">
        <v>36</v>
      </c>
      <c r="K167">
        <f>YEAR(financeData[[#This Row],[Date]])</f>
        <v>2022</v>
      </c>
    </row>
    <row r="168" spans="1:11" x14ac:dyDescent="0.3">
      <c r="A168" s="2">
        <v>44893.092896174858</v>
      </c>
      <c r="B168" t="s">
        <v>10</v>
      </c>
      <c r="C168" t="s">
        <v>17</v>
      </c>
      <c r="D168" t="s">
        <v>24</v>
      </c>
      <c r="E168">
        <v>79744</v>
      </c>
      <c r="F168">
        <v>59022</v>
      </c>
      <c r="G168">
        <v>47951</v>
      </c>
      <c r="H168" t="s">
        <v>30</v>
      </c>
      <c r="I168" t="s">
        <v>33</v>
      </c>
      <c r="J168" t="s">
        <v>36</v>
      </c>
      <c r="K168">
        <f>YEAR(financeData[[#This Row],[Date]])</f>
        <v>2022</v>
      </c>
    </row>
    <row r="169" spans="1:11" x14ac:dyDescent="0.3">
      <c r="A169" s="2">
        <v>44895.087431693981</v>
      </c>
      <c r="B169" t="s">
        <v>12</v>
      </c>
      <c r="C169" t="s">
        <v>21</v>
      </c>
      <c r="D169" t="s">
        <v>24</v>
      </c>
      <c r="E169">
        <v>134749</v>
      </c>
      <c r="F169">
        <v>73229</v>
      </c>
      <c r="G169">
        <v>96179</v>
      </c>
      <c r="H169" t="s">
        <v>30</v>
      </c>
      <c r="I169" t="s">
        <v>34</v>
      </c>
      <c r="J169" t="s">
        <v>35</v>
      </c>
      <c r="K169">
        <f>YEAR(financeData[[#This Row],[Date]])</f>
        <v>2022</v>
      </c>
    </row>
    <row r="170" spans="1:11" x14ac:dyDescent="0.3">
      <c r="A170" s="2">
        <v>44897.081967213111</v>
      </c>
      <c r="B170" t="s">
        <v>14</v>
      </c>
      <c r="C170" t="s">
        <v>17</v>
      </c>
      <c r="D170" t="s">
        <v>23</v>
      </c>
      <c r="E170">
        <v>10109</v>
      </c>
      <c r="F170">
        <v>53196</v>
      </c>
      <c r="G170">
        <v>28648</v>
      </c>
      <c r="H170" t="s">
        <v>28</v>
      </c>
      <c r="I170" t="s">
        <v>32</v>
      </c>
      <c r="J170" t="s">
        <v>35</v>
      </c>
      <c r="K170">
        <f>YEAR(financeData[[#This Row],[Date]])</f>
        <v>2022</v>
      </c>
    </row>
    <row r="171" spans="1:11" x14ac:dyDescent="0.3">
      <c r="A171" s="2">
        <v>44899.076502732227</v>
      </c>
      <c r="B171" t="s">
        <v>10</v>
      </c>
      <c r="C171" t="s">
        <v>18</v>
      </c>
      <c r="D171" t="s">
        <v>25</v>
      </c>
      <c r="E171">
        <v>54268</v>
      </c>
      <c r="F171">
        <v>82354</v>
      </c>
      <c r="G171">
        <v>55729</v>
      </c>
      <c r="H171" t="s">
        <v>30</v>
      </c>
      <c r="I171" t="s">
        <v>32</v>
      </c>
      <c r="J171" t="s">
        <v>36</v>
      </c>
      <c r="K171">
        <f>YEAR(financeData[[#This Row],[Date]])</f>
        <v>2022</v>
      </c>
    </row>
    <row r="172" spans="1:11" x14ac:dyDescent="0.3">
      <c r="A172" s="2">
        <v>44901.071038251357</v>
      </c>
      <c r="B172" t="s">
        <v>14</v>
      </c>
      <c r="C172" t="s">
        <v>15</v>
      </c>
      <c r="D172" t="s">
        <v>22</v>
      </c>
      <c r="E172">
        <v>59615</v>
      </c>
      <c r="F172">
        <v>98774</v>
      </c>
      <c r="G172">
        <v>46971</v>
      </c>
      <c r="H172" t="s">
        <v>31</v>
      </c>
      <c r="I172" t="s">
        <v>34</v>
      </c>
      <c r="J172" t="s">
        <v>35</v>
      </c>
      <c r="K172">
        <f>YEAR(financeData[[#This Row],[Date]])</f>
        <v>2022</v>
      </c>
    </row>
    <row r="173" spans="1:11" x14ac:dyDescent="0.3">
      <c r="A173" s="2">
        <v>44903.065573770487</v>
      </c>
      <c r="B173" t="s">
        <v>14</v>
      </c>
      <c r="C173" t="s">
        <v>17</v>
      </c>
      <c r="D173" t="s">
        <v>27</v>
      </c>
      <c r="E173">
        <v>87503</v>
      </c>
      <c r="F173">
        <v>98410</v>
      </c>
      <c r="G173">
        <v>23658</v>
      </c>
      <c r="H173" t="s">
        <v>31</v>
      </c>
      <c r="I173" t="s">
        <v>34</v>
      </c>
      <c r="J173" t="s">
        <v>35</v>
      </c>
      <c r="K173">
        <f>YEAR(financeData[[#This Row],[Date]])</f>
        <v>2022</v>
      </c>
    </row>
    <row r="174" spans="1:11" x14ac:dyDescent="0.3">
      <c r="A174" s="2">
        <v>44905.060109289603</v>
      </c>
      <c r="B174" t="s">
        <v>13</v>
      </c>
      <c r="C174" t="s">
        <v>21</v>
      </c>
      <c r="D174" t="s">
        <v>23</v>
      </c>
      <c r="E174">
        <v>90708</v>
      </c>
      <c r="F174">
        <v>28715</v>
      </c>
      <c r="G174">
        <v>26253</v>
      </c>
      <c r="H174" t="s">
        <v>30</v>
      </c>
      <c r="I174" t="s">
        <v>32</v>
      </c>
      <c r="J174" t="s">
        <v>36</v>
      </c>
      <c r="K174">
        <f>YEAR(financeData[[#This Row],[Date]])</f>
        <v>2022</v>
      </c>
    </row>
    <row r="175" spans="1:11" x14ac:dyDescent="0.3">
      <c r="A175" s="2">
        <v>44907.054644808741</v>
      </c>
      <c r="B175" t="s">
        <v>10</v>
      </c>
      <c r="C175" t="s">
        <v>17</v>
      </c>
      <c r="D175" t="s">
        <v>25</v>
      </c>
      <c r="E175">
        <v>107471</v>
      </c>
      <c r="F175">
        <v>29605</v>
      </c>
      <c r="G175">
        <v>69166</v>
      </c>
      <c r="H175" t="s">
        <v>30</v>
      </c>
      <c r="I175" t="s">
        <v>32</v>
      </c>
      <c r="J175" t="s">
        <v>36</v>
      </c>
      <c r="K175">
        <f>YEAR(financeData[[#This Row],[Date]])</f>
        <v>2022</v>
      </c>
    </row>
    <row r="176" spans="1:11" x14ac:dyDescent="0.3">
      <c r="A176" s="2">
        <v>44909.049180327856</v>
      </c>
      <c r="B176" t="s">
        <v>10</v>
      </c>
      <c r="C176" t="s">
        <v>17</v>
      </c>
      <c r="D176" t="s">
        <v>22</v>
      </c>
      <c r="E176">
        <v>88309</v>
      </c>
      <c r="F176">
        <v>33174</v>
      </c>
      <c r="G176">
        <v>53563</v>
      </c>
      <c r="H176" t="s">
        <v>31</v>
      </c>
      <c r="I176" t="s">
        <v>32</v>
      </c>
      <c r="J176" t="s">
        <v>35</v>
      </c>
      <c r="K176">
        <f>YEAR(financeData[[#This Row],[Date]])</f>
        <v>2022</v>
      </c>
    </row>
    <row r="177" spans="1:11" x14ac:dyDescent="0.3">
      <c r="A177" s="2">
        <v>44911.043715846987</v>
      </c>
      <c r="B177" t="s">
        <v>13</v>
      </c>
      <c r="C177" t="s">
        <v>17</v>
      </c>
      <c r="D177" t="s">
        <v>22</v>
      </c>
      <c r="E177">
        <v>131446</v>
      </c>
      <c r="F177">
        <v>11956</v>
      </c>
      <c r="G177">
        <v>31390</v>
      </c>
      <c r="H177" t="s">
        <v>29</v>
      </c>
      <c r="I177" t="s">
        <v>34</v>
      </c>
      <c r="J177" t="s">
        <v>35</v>
      </c>
      <c r="K177">
        <f>YEAR(financeData[[#This Row],[Date]])</f>
        <v>2022</v>
      </c>
    </row>
    <row r="178" spans="1:11" x14ac:dyDescent="0.3">
      <c r="A178" s="2">
        <v>44913.03825136611</v>
      </c>
      <c r="B178" t="s">
        <v>12</v>
      </c>
      <c r="C178" t="s">
        <v>16</v>
      </c>
      <c r="D178" t="s">
        <v>23</v>
      </c>
      <c r="E178">
        <v>111661</v>
      </c>
      <c r="F178">
        <v>78373</v>
      </c>
      <c r="G178">
        <v>93664</v>
      </c>
      <c r="H178" t="s">
        <v>31</v>
      </c>
      <c r="I178" t="s">
        <v>32</v>
      </c>
      <c r="J178" t="s">
        <v>36</v>
      </c>
      <c r="K178">
        <f>YEAR(financeData[[#This Row],[Date]])</f>
        <v>2022</v>
      </c>
    </row>
    <row r="179" spans="1:11" x14ac:dyDescent="0.3">
      <c r="A179" s="2">
        <v>44915.03278688524</v>
      </c>
      <c r="B179" t="s">
        <v>14</v>
      </c>
      <c r="C179" t="s">
        <v>16</v>
      </c>
      <c r="D179" t="s">
        <v>26</v>
      </c>
      <c r="E179">
        <v>11154</v>
      </c>
      <c r="F179">
        <v>71252</v>
      </c>
      <c r="G179">
        <v>56578</v>
      </c>
      <c r="H179" t="s">
        <v>31</v>
      </c>
      <c r="I179" t="s">
        <v>32</v>
      </c>
      <c r="J179" t="s">
        <v>35</v>
      </c>
      <c r="K179">
        <f>YEAR(financeData[[#This Row],[Date]])</f>
        <v>2022</v>
      </c>
    </row>
    <row r="180" spans="1:11" x14ac:dyDescent="0.3">
      <c r="A180" s="2">
        <v>44917.027322404363</v>
      </c>
      <c r="B180" t="s">
        <v>11</v>
      </c>
      <c r="C180" t="s">
        <v>15</v>
      </c>
      <c r="D180" t="s">
        <v>27</v>
      </c>
      <c r="E180">
        <v>69288</v>
      </c>
      <c r="F180">
        <v>63949</v>
      </c>
      <c r="G180">
        <v>84025</v>
      </c>
      <c r="H180" t="s">
        <v>30</v>
      </c>
      <c r="I180" t="s">
        <v>33</v>
      </c>
      <c r="J180" t="s">
        <v>35</v>
      </c>
      <c r="K180">
        <f>YEAR(financeData[[#This Row],[Date]])</f>
        <v>2022</v>
      </c>
    </row>
    <row r="181" spans="1:11" x14ac:dyDescent="0.3">
      <c r="A181" s="2">
        <v>44919.021857923493</v>
      </c>
      <c r="B181" t="s">
        <v>14</v>
      </c>
      <c r="C181" t="s">
        <v>19</v>
      </c>
      <c r="D181" t="s">
        <v>22</v>
      </c>
      <c r="E181">
        <v>56195</v>
      </c>
      <c r="F181">
        <v>64646</v>
      </c>
      <c r="G181">
        <v>108850</v>
      </c>
      <c r="H181" t="s">
        <v>31</v>
      </c>
      <c r="I181" t="s">
        <v>34</v>
      </c>
      <c r="J181" t="s">
        <v>36</v>
      </c>
      <c r="K181">
        <f>YEAR(financeData[[#This Row],[Date]])</f>
        <v>2022</v>
      </c>
    </row>
    <row r="182" spans="1:11" x14ac:dyDescent="0.3">
      <c r="A182" s="2">
        <v>44921.016393442616</v>
      </c>
      <c r="B182" t="s">
        <v>14</v>
      </c>
      <c r="C182" t="s">
        <v>17</v>
      </c>
      <c r="D182" t="s">
        <v>23</v>
      </c>
      <c r="E182">
        <v>25581</v>
      </c>
      <c r="F182">
        <v>72017</v>
      </c>
      <c r="G182">
        <v>37658</v>
      </c>
      <c r="H182" t="s">
        <v>30</v>
      </c>
      <c r="I182" t="s">
        <v>33</v>
      </c>
      <c r="J182" t="s">
        <v>36</v>
      </c>
      <c r="K182">
        <f>YEAR(financeData[[#This Row],[Date]])</f>
        <v>2022</v>
      </c>
    </row>
    <row r="183" spans="1:11" x14ac:dyDescent="0.3">
      <c r="A183" s="2">
        <v>44923.010928961747</v>
      </c>
      <c r="B183" t="s">
        <v>12</v>
      </c>
      <c r="C183" t="s">
        <v>18</v>
      </c>
      <c r="D183" t="s">
        <v>23</v>
      </c>
      <c r="E183">
        <v>35087</v>
      </c>
      <c r="F183">
        <v>65037</v>
      </c>
      <c r="G183">
        <v>11852</v>
      </c>
      <c r="H183" t="s">
        <v>30</v>
      </c>
      <c r="I183" t="s">
        <v>33</v>
      </c>
      <c r="J183" t="s">
        <v>35</v>
      </c>
      <c r="K183">
        <f>YEAR(financeData[[#This Row],[Date]])</f>
        <v>2022</v>
      </c>
    </row>
    <row r="184" spans="1:11" x14ac:dyDescent="0.3">
      <c r="A184" s="2">
        <v>44925.00546448087</v>
      </c>
      <c r="B184" t="s">
        <v>14</v>
      </c>
      <c r="C184" t="s">
        <v>19</v>
      </c>
      <c r="D184" t="s">
        <v>25</v>
      </c>
      <c r="E184">
        <v>74298</v>
      </c>
      <c r="F184">
        <v>91818</v>
      </c>
      <c r="G184">
        <v>99986</v>
      </c>
      <c r="H184" t="s">
        <v>28</v>
      </c>
      <c r="I184" t="s">
        <v>32</v>
      </c>
      <c r="J184" t="s">
        <v>35</v>
      </c>
      <c r="K184">
        <f>YEAR(financeData[[#This Row],[Date]])</f>
        <v>2022</v>
      </c>
    </row>
    <row r="185" spans="1:11" x14ac:dyDescent="0.3">
      <c r="A185" s="2">
        <v>44927</v>
      </c>
      <c r="B185" t="s">
        <v>13</v>
      </c>
      <c r="C185" t="s">
        <v>18</v>
      </c>
      <c r="D185" t="s">
        <v>26</v>
      </c>
      <c r="E185">
        <v>51167</v>
      </c>
      <c r="F185">
        <v>8548</v>
      </c>
      <c r="G185">
        <v>7551</v>
      </c>
      <c r="H185" t="s">
        <v>31</v>
      </c>
      <c r="I185" t="s">
        <v>34</v>
      </c>
      <c r="J185" t="s">
        <v>35</v>
      </c>
      <c r="K185">
        <f>YEAR(financeData[[#This Row],[Date]])</f>
        <v>2023</v>
      </c>
    </row>
    <row r="186" spans="1:11" x14ac:dyDescent="0.3">
      <c r="A186" s="2">
        <v>44928.994535519123</v>
      </c>
      <c r="B186" t="s">
        <v>13</v>
      </c>
      <c r="C186" t="s">
        <v>19</v>
      </c>
      <c r="D186" t="s">
        <v>27</v>
      </c>
      <c r="E186">
        <v>44499</v>
      </c>
      <c r="F186">
        <v>75294</v>
      </c>
      <c r="G186">
        <v>76947</v>
      </c>
      <c r="H186" t="s">
        <v>29</v>
      </c>
      <c r="I186" t="s">
        <v>32</v>
      </c>
      <c r="J186" t="s">
        <v>36</v>
      </c>
      <c r="K186">
        <f>YEAR(financeData[[#This Row],[Date]])</f>
        <v>2023</v>
      </c>
    </row>
    <row r="187" spans="1:11" x14ac:dyDescent="0.3">
      <c r="A187" s="2">
        <v>44930.989071038239</v>
      </c>
      <c r="B187" t="s">
        <v>10</v>
      </c>
      <c r="C187" t="s">
        <v>15</v>
      </c>
      <c r="D187" t="s">
        <v>24</v>
      </c>
      <c r="E187">
        <v>130816</v>
      </c>
      <c r="F187">
        <v>25177</v>
      </c>
      <c r="G187">
        <v>66001</v>
      </c>
      <c r="H187" t="s">
        <v>28</v>
      </c>
      <c r="I187" t="s">
        <v>34</v>
      </c>
      <c r="J187" t="s">
        <v>35</v>
      </c>
      <c r="K187">
        <f>YEAR(financeData[[#This Row],[Date]])</f>
        <v>2023</v>
      </c>
    </row>
    <row r="188" spans="1:11" x14ac:dyDescent="0.3">
      <c r="A188" s="2">
        <v>44932.983606557369</v>
      </c>
      <c r="B188" t="s">
        <v>11</v>
      </c>
      <c r="C188" t="s">
        <v>17</v>
      </c>
      <c r="D188" t="s">
        <v>25</v>
      </c>
      <c r="E188">
        <v>101347</v>
      </c>
      <c r="F188">
        <v>26022</v>
      </c>
      <c r="G188">
        <v>54159</v>
      </c>
      <c r="H188" t="s">
        <v>30</v>
      </c>
      <c r="I188" t="s">
        <v>33</v>
      </c>
      <c r="J188" t="s">
        <v>35</v>
      </c>
      <c r="K188">
        <f>YEAR(financeData[[#This Row],[Date]])</f>
        <v>2023</v>
      </c>
    </row>
    <row r="189" spans="1:11" x14ac:dyDescent="0.3">
      <c r="A189" s="2">
        <v>44934.978142076492</v>
      </c>
      <c r="B189" t="s">
        <v>14</v>
      </c>
      <c r="C189" t="s">
        <v>17</v>
      </c>
      <c r="D189" t="s">
        <v>22</v>
      </c>
      <c r="E189">
        <v>53787</v>
      </c>
      <c r="F189">
        <v>7542</v>
      </c>
      <c r="G189">
        <v>56707</v>
      </c>
      <c r="H189" t="s">
        <v>30</v>
      </c>
      <c r="I189" t="s">
        <v>34</v>
      </c>
      <c r="J189" t="s">
        <v>36</v>
      </c>
      <c r="K189">
        <f>YEAR(financeData[[#This Row],[Date]])</f>
        <v>2023</v>
      </c>
    </row>
    <row r="190" spans="1:11" x14ac:dyDescent="0.3">
      <c r="A190" s="2">
        <v>44936.972677595622</v>
      </c>
      <c r="B190" t="s">
        <v>14</v>
      </c>
      <c r="C190" t="s">
        <v>20</v>
      </c>
      <c r="D190" t="s">
        <v>22</v>
      </c>
      <c r="E190">
        <v>40488</v>
      </c>
      <c r="F190">
        <v>93012</v>
      </c>
      <c r="G190">
        <v>38243</v>
      </c>
      <c r="H190" t="s">
        <v>29</v>
      </c>
      <c r="I190" t="s">
        <v>32</v>
      </c>
      <c r="J190" t="s">
        <v>36</v>
      </c>
      <c r="K190">
        <f>YEAR(financeData[[#This Row],[Date]])</f>
        <v>2023</v>
      </c>
    </row>
    <row r="191" spans="1:11" x14ac:dyDescent="0.3">
      <c r="A191" s="2">
        <v>44938.967213114753</v>
      </c>
      <c r="B191" t="s">
        <v>12</v>
      </c>
      <c r="C191" t="s">
        <v>18</v>
      </c>
      <c r="D191" t="s">
        <v>25</v>
      </c>
      <c r="E191">
        <v>79441</v>
      </c>
      <c r="F191">
        <v>98320</v>
      </c>
      <c r="G191">
        <v>26800</v>
      </c>
      <c r="H191" t="s">
        <v>30</v>
      </c>
      <c r="I191" t="s">
        <v>32</v>
      </c>
      <c r="J191" t="s">
        <v>35</v>
      </c>
      <c r="K191">
        <f>YEAR(financeData[[#This Row],[Date]])</f>
        <v>2023</v>
      </c>
    </row>
    <row r="192" spans="1:11" x14ac:dyDescent="0.3">
      <c r="A192" s="2">
        <v>44940.961748633883</v>
      </c>
      <c r="B192" t="s">
        <v>13</v>
      </c>
      <c r="C192" t="s">
        <v>19</v>
      </c>
      <c r="D192" t="s">
        <v>23</v>
      </c>
      <c r="E192">
        <v>27431</v>
      </c>
      <c r="F192">
        <v>62428</v>
      </c>
      <c r="G192">
        <v>80939</v>
      </c>
      <c r="H192" t="s">
        <v>31</v>
      </c>
      <c r="I192" t="s">
        <v>32</v>
      </c>
      <c r="J192" t="s">
        <v>36</v>
      </c>
      <c r="K192">
        <f>YEAR(financeData[[#This Row],[Date]])</f>
        <v>2023</v>
      </c>
    </row>
    <row r="193" spans="1:11" x14ac:dyDescent="0.3">
      <c r="A193" s="2">
        <v>44942.956284152999</v>
      </c>
      <c r="B193" t="s">
        <v>11</v>
      </c>
      <c r="C193" t="s">
        <v>19</v>
      </c>
      <c r="D193" t="s">
        <v>22</v>
      </c>
      <c r="E193">
        <v>66681</v>
      </c>
      <c r="F193">
        <v>24740</v>
      </c>
      <c r="G193">
        <v>62828</v>
      </c>
      <c r="H193" t="s">
        <v>28</v>
      </c>
      <c r="I193" t="s">
        <v>34</v>
      </c>
      <c r="J193" t="s">
        <v>36</v>
      </c>
      <c r="K193">
        <f>YEAR(financeData[[#This Row],[Date]])</f>
        <v>2023</v>
      </c>
    </row>
    <row r="194" spans="1:11" x14ac:dyDescent="0.3">
      <c r="A194" s="2">
        <v>44944.950819672129</v>
      </c>
      <c r="B194" t="s">
        <v>10</v>
      </c>
      <c r="C194" t="s">
        <v>16</v>
      </c>
      <c r="D194" t="s">
        <v>26</v>
      </c>
      <c r="E194">
        <v>127720</v>
      </c>
      <c r="F194">
        <v>61353</v>
      </c>
      <c r="G194">
        <v>12239</v>
      </c>
      <c r="H194" t="s">
        <v>30</v>
      </c>
      <c r="I194" t="s">
        <v>33</v>
      </c>
      <c r="J194" t="s">
        <v>35</v>
      </c>
      <c r="K194">
        <f>YEAR(financeData[[#This Row],[Date]])</f>
        <v>2023</v>
      </c>
    </row>
    <row r="195" spans="1:11" x14ac:dyDescent="0.3">
      <c r="A195" s="2">
        <v>44946.945355191252</v>
      </c>
      <c r="B195" t="s">
        <v>13</v>
      </c>
      <c r="C195" t="s">
        <v>20</v>
      </c>
      <c r="D195" t="s">
        <v>27</v>
      </c>
      <c r="E195">
        <v>54153</v>
      </c>
      <c r="F195">
        <v>92353</v>
      </c>
      <c r="G195">
        <v>11710</v>
      </c>
      <c r="H195" t="s">
        <v>30</v>
      </c>
      <c r="I195" t="s">
        <v>33</v>
      </c>
      <c r="J195" t="s">
        <v>36</v>
      </c>
      <c r="K195">
        <f>YEAR(financeData[[#This Row],[Date]])</f>
        <v>2023</v>
      </c>
    </row>
    <row r="196" spans="1:11" x14ac:dyDescent="0.3">
      <c r="A196" s="2">
        <v>44948.939890710382</v>
      </c>
      <c r="B196" t="s">
        <v>10</v>
      </c>
      <c r="C196" t="s">
        <v>21</v>
      </c>
      <c r="D196" t="s">
        <v>26</v>
      </c>
      <c r="E196">
        <v>11368</v>
      </c>
      <c r="F196">
        <v>58532</v>
      </c>
      <c r="G196">
        <v>26384</v>
      </c>
      <c r="H196" t="s">
        <v>29</v>
      </c>
      <c r="I196" t="s">
        <v>34</v>
      </c>
      <c r="J196" t="s">
        <v>36</v>
      </c>
      <c r="K196">
        <f>YEAR(financeData[[#This Row],[Date]])</f>
        <v>2023</v>
      </c>
    </row>
    <row r="197" spans="1:11" x14ac:dyDescent="0.3">
      <c r="A197" s="2">
        <v>44950.934426229513</v>
      </c>
      <c r="B197" t="s">
        <v>12</v>
      </c>
      <c r="C197" t="s">
        <v>21</v>
      </c>
      <c r="D197" t="s">
        <v>22</v>
      </c>
      <c r="E197">
        <v>117360</v>
      </c>
      <c r="F197">
        <v>18052</v>
      </c>
      <c r="G197">
        <v>26038</v>
      </c>
      <c r="H197" t="s">
        <v>31</v>
      </c>
      <c r="I197" t="s">
        <v>32</v>
      </c>
      <c r="J197" t="s">
        <v>35</v>
      </c>
      <c r="K197">
        <f>YEAR(financeData[[#This Row],[Date]])</f>
        <v>2023</v>
      </c>
    </row>
    <row r="198" spans="1:11" x14ac:dyDescent="0.3">
      <c r="A198" s="2">
        <v>44952.928961748621</v>
      </c>
      <c r="B198" t="s">
        <v>12</v>
      </c>
      <c r="C198" t="s">
        <v>16</v>
      </c>
      <c r="D198" t="s">
        <v>24</v>
      </c>
      <c r="E198">
        <v>117755</v>
      </c>
      <c r="F198">
        <v>49076</v>
      </c>
      <c r="G198">
        <v>45846</v>
      </c>
      <c r="H198" t="s">
        <v>30</v>
      </c>
      <c r="I198" t="s">
        <v>33</v>
      </c>
      <c r="J198" t="s">
        <v>36</v>
      </c>
      <c r="K198">
        <f>YEAR(financeData[[#This Row],[Date]])</f>
        <v>2023</v>
      </c>
    </row>
    <row r="199" spans="1:11" x14ac:dyDescent="0.3">
      <c r="A199" s="2">
        <v>44954.923497267751</v>
      </c>
      <c r="B199" t="s">
        <v>14</v>
      </c>
      <c r="C199" t="s">
        <v>16</v>
      </c>
      <c r="D199" t="s">
        <v>27</v>
      </c>
      <c r="E199">
        <v>61985</v>
      </c>
      <c r="F199">
        <v>55420</v>
      </c>
      <c r="G199">
        <v>92983</v>
      </c>
      <c r="H199" t="s">
        <v>29</v>
      </c>
      <c r="I199" t="s">
        <v>32</v>
      </c>
      <c r="J199" t="s">
        <v>35</v>
      </c>
      <c r="K199">
        <f>YEAR(financeData[[#This Row],[Date]])</f>
        <v>2023</v>
      </c>
    </row>
    <row r="200" spans="1:11" x14ac:dyDescent="0.3">
      <c r="A200" s="2">
        <v>44956.918032786867</v>
      </c>
      <c r="B200" t="s">
        <v>11</v>
      </c>
      <c r="C200" t="s">
        <v>16</v>
      </c>
      <c r="D200" t="s">
        <v>27</v>
      </c>
      <c r="E200">
        <v>55069</v>
      </c>
      <c r="F200">
        <v>2671</v>
      </c>
      <c r="G200">
        <v>72821</v>
      </c>
      <c r="H200" t="s">
        <v>30</v>
      </c>
      <c r="I200" t="s">
        <v>34</v>
      </c>
      <c r="J200" t="s">
        <v>35</v>
      </c>
      <c r="K200">
        <f>YEAR(financeData[[#This Row],[Date]])</f>
        <v>2023</v>
      </c>
    </row>
    <row r="201" spans="1:11" x14ac:dyDescent="0.3">
      <c r="A201" s="2">
        <v>44958.912568305997</v>
      </c>
      <c r="B201" t="s">
        <v>10</v>
      </c>
      <c r="C201" t="s">
        <v>18</v>
      </c>
      <c r="D201" t="s">
        <v>25</v>
      </c>
      <c r="E201">
        <v>57326</v>
      </c>
      <c r="F201">
        <v>2163</v>
      </c>
      <c r="G201">
        <v>42991</v>
      </c>
      <c r="H201" t="s">
        <v>29</v>
      </c>
      <c r="I201" t="s">
        <v>32</v>
      </c>
      <c r="J201" t="s">
        <v>36</v>
      </c>
      <c r="K201">
        <f>YEAR(financeData[[#This Row],[Date]])</f>
        <v>2023</v>
      </c>
    </row>
    <row r="202" spans="1:11" x14ac:dyDescent="0.3">
      <c r="A202" s="2">
        <v>44960.907103825128</v>
      </c>
      <c r="B202" t="s">
        <v>13</v>
      </c>
      <c r="C202" t="s">
        <v>18</v>
      </c>
      <c r="D202" t="s">
        <v>25</v>
      </c>
      <c r="E202">
        <v>113737</v>
      </c>
      <c r="F202">
        <v>43424</v>
      </c>
      <c r="G202">
        <v>84057</v>
      </c>
      <c r="H202" t="s">
        <v>29</v>
      </c>
      <c r="I202" t="s">
        <v>33</v>
      </c>
      <c r="J202" t="s">
        <v>36</v>
      </c>
      <c r="K202">
        <f>YEAR(financeData[[#This Row],[Date]])</f>
        <v>2023</v>
      </c>
    </row>
    <row r="203" spans="1:11" x14ac:dyDescent="0.3">
      <c r="A203" s="2">
        <v>44962.901639344258</v>
      </c>
      <c r="B203" t="s">
        <v>12</v>
      </c>
      <c r="C203" t="s">
        <v>15</v>
      </c>
      <c r="D203" t="s">
        <v>24</v>
      </c>
      <c r="E203">
        <v>55861</v>
      </c>
      <c r="F203">
        <v>55744</v>
      </c>
      <c r="G203">
        <v>118193</v>
      </c>
      <c r="H203" t="s">
        <v>31</v>
      </c>
      <c r="I203" t="s">
        <v>33</v>
      </c>
      <c r="J203" t="s">
        <v>36</v>
      </c>
      <c r="K203">
        <f>YEAR(financeData[[#This Row],[Date]])</f>
        <v>2023</v>
      </c>
    </row>
    <row r="204" spans="1:11" x14ac:dyDescent="0.3">
      <c r="A204" s="2">
        <v>44964.896174863381</v>
      </c>
      <c r="B204" t="s">
        <v>14</v>
      </c>
      <c r="C204" t="s">
        <v>15</v>
      </c>
      <c r="D204" t="s">
        <v>23</v>
      </c>
      <c r="E204">
        <v>80897</v>
      </c>
      <c r="F204">
        <v>72331</v>
      </c>
      <c r="G204">
        <v>11971</v>
      </c>
      <c r="H204" t="s">
        <v>30</v>
      </c>
      <c r="I204" t="s">
        <v>32</v>
      </c>
      <c r="J204" t="s">
        <v>35</v>
      </c>
      <c r="K204">
        <f>YEAR(financeData[[#This Row],[Date]])</f>
        <v>2023</v>
      </c>
    </row>
    <row r="205" spans="1:11" x14ac:dyDescent="0.3">
      <c r="A205" s="2">
        <v>44966.890710382511</v>
      </c>
      <c r="B205" t="s">
        <v>14</v>
      </c>
      <c r="C205" t="s">
        <v>16</v>
      </c>
      <c r="D205" t="s">
        <v>27</v>
      </c>
      <c r="E205">
        <v>132118</v>
      </c>
      <c r="F205">
        <v>12634</v>
      </c>
      <c r="G205">
        <v>34139</v>
      </c>
      <c r="H205" t="s">
        <v>31</v>
      </c>
      <c r="I205" t="s">
        <v>34</v>
      </c>
      <c r="J205" t="s">
        <v>36</v>
      </c>
      <c r="K205">
        <f>YEAR(financeData[[#This Row],[Date]])</f>
        <v>2023</v>
      </c>
    </row>
    <row r="206" spans="1:11" x14ac:dyDescent="0.3">
      <c r="A206" s="2">
        <v>44968.885245901627</v>
      </c>
      <c r="B206" t="s">
        <v>10</v>
      </c>
      <c r="C206" t="s">
        <v>20</v>
      </c>
      <c r="D206" t="s">
        <v>24</v>
      </c>
      <c r="E206">
        <v>73577</v>
      </c>
      <c r="F206">
        <v>6798</v>
      </c>
      <c r="G206">
        <v>90445</v>
      </c>
      <c r="H206" t="s">
        <v>29</v>
      </c>
      <c r="I206" t="s">
        <v>32</v>
      </c>
      <c r="J206" t="s">
        <v>35</v>
      </c>
      <c r="K206">
        <f>YEAR(financeData[[#This Row],[Date]])</f>
        <v>2023</v>
      </c>
    </row>
    <row r="207" spans="1:11" x14ac:dyDescent="0.3">
      <c r="A207" s="2">
        <v>44970.879781420757</v>
      </c>
      <c r="B207" t="s">
        <v>12</v>
      </c>
      <c r="C207" t="s">
        <v>19</v>
      </c>
      <c r="D207" t="s">
        <v>25</v>
      </c>
      <c r="E207">
        <v>14078</v>
      </c>
      <c r="F207">
        <v>24420</v>
      </c>
      <c r="G207">
        <v>82067</v>
      </c>
      <c r="H207" t="s">
        <v>28</v>
      </c>
      <c r="I207" t="s">
        <v>34</v>
      </c>
      <c r="J207" t="s">
        <v>36</v>
      </c>
      <c r="K207">
        <f>YEAR(financeData[[#This Row],[Date]])</f>
        <v>2023</v>
      </c>
    </row>
    <row r="208" spans="1:11" x14ac:dyDescent="0.3">
      <c r="A208" s="2">
        <v>44972.874316939888</v>
      </c>
      <c r="B208" t="s">
        <v>11</v>
      </c>
      <c r="C208" t="s">
        <v>18</v>
      </c>
      <c r="D208" t="s">
        <v>25</v>
      </c>
      <c r="E208">
        <v>67768</v>
      </c>
      <c r="F208">
        <v>31300</v>
      </c>
      <c r="G208">
        <v>85257</v>
      </c>
      <c r="H208" t="s">
        <v>30</v>
      </c>
      <c r="I208" t="s">
        <v>32</v>
      </c>
      <c r="J208" t="s">
        <v>36</v>
      </c>
      <c r="K208">
        <f>YEAR(financeData[[#This Row],[Date]])</f>
        <v>2023</v>
      </c>
    </row>
    <row r="209" spans="1:11" x14ac:dyDescent="0.3">
      <c r="A209" s="2">
        <v>44974.868852459018</v>
      </c>
      <c r="B209" t="s">
        <v>12</v>
      </c>
      <c r="C209" t="s">
        <v>20</v>
      </c>
      <c r="D209" t="s">
        <v>27</v>
      </c>
      <c r="E209">
        <v>56047</v>
      </c>
      <c r="F209">
        <v>91881</v>
      </c>
      <c r="G209">
        <v>89742</v>
      </c>
      <c r="H209" t="s">
        <v>28</v>
      </c>
      <c r="I209" t="s">
        <v>33</v>
      </c>
      <c r="J209" t="s">
        <v>36</v>
      </c>
      <c r="K209">
        <f>YEAR(financeData[[#This Row],[Date]])</f>
        <v>2023</v>
      </c>
    </row>
    <row r="210" spans="1:11" x14ac:dyDescent="0.3">
      <c r="A210" s="2">
        <v>44976.863387978126</v>
      </c>
      <c r="B210" t="s">
        <v>10</v>
      </c>
      <c r="C210" t="s">
        <v>17</v>
      </c>
      <c r="D210" t="s">
        <v>26</v>
      </c>
      <c r="E210">
        <v>76626</v>
      </c>
      <c r="F210">
        <v>12749</v>
      </c>
      <c r="G210">
        <v>42711</v>
      </c>
      <c r="H210" t="s">
        <v>30</v>
      </c>
      <c r="I210" t="s">
        <v>34</v>
      </c>
      <c r="J210" t="s">
        <v>35</v>
      </c>
      <c r="K210">
        <f>YEAR(financeData[[#This Row],[Date]])</f>
        <v>2023</v>
      </c>
    </row>
    <row r="211" spans="1:11" x14ac:dyDescent="0.3">
      <c r="A211" s="2">
        <v>44978.857923497257</v>
      </c>
      <c r="B211" t="s">
        <v>10</v>
      </c>
      <c r="C211" t="s">
        <v>18</v>
      </c>
      <c r="D211" t="s">
        <v>22</v>
      </c>
      <c r="E211">
        <v>62660</v>
      </c>
      <c r="F211">
        <v>27121</v>
      </c>
      <c r="G211">
        <v>11530</v>
      </c>
      <c r="H211" t="s">
        <v>31</v>
      </c>
      <c r="I211" t="s">
        <v>34</v>
      </c>
      <c r="J211" t="s">
        <v>36</v>
      </c>
      <c r="K211">
        <f>YEAR(financeData[[#This Row],[Date]])</f>
        <v>2023</v>
      </c>
    </row>
    <row r="212" spans="1:11" x14ac:dyDescent="0.3">
      <c r="A212" s="2">
        <v>44980.852459016387</v>
      </c>
      <c r="B212" t="s">
        <v>12</v>
      </c>
      <c r="C212" t="s">
        <v>18</v>
      </c>
      <c r="D212" t="s">
        <v>25</v>
      </c>
      <c r="E212">
        <v>137997</v>
      </c>
      <c r="F212">
        <v>39487</v>
      </c>
      <c r="G212">
        <v>16116</v>
      </c>
      <c r="H212" t="s">
        <v>31</v>
      </c>
      <c r="I212" t="s">
        <v>34</v>
      </c>
      <c r="J212" t="s">
        <v>36</v>
      </c>
      <c r="K212">
        <f>YEAR(financeData[[#This Row],[Date]])</f>
        <v>2023</v>
      </c>
    </row>
    <row r="213" spans="1:11" x14ac:dyDescent="0.3">
      <c r="A213" s="2">
        <v>44982.84699453551</v>
      </c>
      <c r="B213" t="s">
        <v>10</v>
      </c>
      <c r="C213" t="s">
        <v>15</v>
      </c>
      <c r="D213" t="s">
        <v>23</v>
      </c>
      <c r="E213">
        <v>122832</v>
      </c>
      <c r="F213">
        <v>95947</v>
      </c>
      <c r="G213">
        <v>70794</v>
      </c>
      <c r="H213" t="s">
        <v>31</v>
      </c>
      <c r="I213" t="s">
        <v>33</v>
      </c>
      <c r="J213" t="s">
        <v>35</v>
      </c>
      <c r="K213">
        <f>YEAR(financeData[[#This Row],[Date]])</f>
        <v>2023</v>
      </c>
    </row>
    <row r="214" spans="1:11" x14ac:dyDescent="0.3">
      <c r="A214" s="2">
        <v>44984.84153005464</v>
      </c>
      <c r="B214" t="s">
        <v>12</v>
      </c>
      <c r="C214" t="s">
        <v>19</v>
      </c>
      <c r="D214" t="s">
        <v>23</v>
      </c>
      <c r="E214">
        <v>135406</v>
      </c>
      <c r="F214">
        <v>35361</v>
      </c>
      <c r="G214">
        <v>5282</v>
      </c>
      <c r="H214" t="s">
        <v>31</v>
      </c>
      <c r="I214" t="s">
        <v>32</v>
      </c>
      <c r="J214" t="s">
        <v>35</v>
      </c>
      <c r="K214">
        <f>YEAR(financeData[[#This Row],[Date]])</f>
        <v>2023</v>
      </c>
    </row>
    <row r="215" spans="1:11" x14ac:dyDescent="0.3">
      <c r="A215" s="2">
        <v>44986.836065573763</v>
      </c>
      <c r="B215" t="s">
        <v>13</v>
      </c>
      <c r="C215" t="s">
        <v>19</v>
      </c>
      <c r="D215" t="s">
        <v>25</v>
      </c>
      <c r="E215">
        <v>130150</v>
      </c>
      <c r="F215">
        <v>23223</v>
      </c>
      <c r="G215">
        <v>84473</v>
      </c>
      <c r="H215" t="s">
        <v>31</v>
      </c>
      <c r="I215" t="s">
        <v>33</v>
      </c>
      <c r="J215" t="s">
        <v>36</v>
      </c>
      <c r="K215">
        <f>YEAR(financeData[[#This Row],[Date]])</f>
        <v>2023</v>
      </c>
    </row>
    <row r="216" spans="1:11" x14ac:dyDescent="0.3">
      <c r="A216" s="2">
        <v>44988.830601092894</v>
      </c>
      <c r="B216" t="s">
        <v>12</v>
      </c>
      <c r="C216" t="s">
        <v>21</v>
      </c>
      <c r="D216" t="s">
        <v>26</v>
      </c>
      <c r="E216">
        <v>38320</v>
      </c>
      <c r="F216">
        <v>74930</v>
      </c>
      <c r="G216">
        <v>6898</v>
      </c>
      <c r="H216" t="s">
        <v>28</v>
      </c>
      <c r="I216" t="s">
        <v>34</v>
      </c>
      <c r="J216" t="s">
        <v>36</v>
      </c>
      <c r="K216">
        <f>YEAR(financeData[[#This Row],[Date]])</f>
        <v>2023</v>
      </c>
    </row>
    <row r="217" spans="1:11" x14ac:dyDescent="0.3">
      <c r="A217" s="2">
        <v>44990.825136612017</v>
      </c>
      <c r="B217" t="s">
        <v>12</v>
      </c>
      <c r="C217" t="s">
        <v>21</v>
      </c>
      <c r="D217" t="s">
        <v>26</v>
      </c>
      <c r="E217">
        <v>69881</v>
      </c>
      <c r="F217">
        <v>16056</v>
      </c>
      <c r="G217">
        <v>9135</v>
      </c>
      <c r="H217" t="s">
        <v>31</v>
      </c>
      <c r="I217" t="s">
        <v>32</v>
      </c>
      <c r="J217" t="s">
        <v>36</v>
      </c>
      <c r="K217">
        <f>YEAR(financeData[[#This Row],[Date]])</f>
        <v>2023</v>
      </c>
    </row>
    <row r="218" spans="1:11" x14ac:dyDescent="0.3">
      <c r="A218" s="2">
        <v>44992.819672131147</v>
      </c>
      <c r="B218" t="s">
        <v>10</v>
      </c>
      <c r="C218" t="s">
        <v>21</v>
      </c>
      <c r="D218" t="s">
        <v>24</v>
      </c>
      <c r="E218">
        <v>95827</v>
      </c>
      <c r="F218">
        <v>30380</v>
      </c>
      <c r="G218">
        <v>11629</v>
      </c>
      <c r="H218" t="s">
        <v>29</v>
      </c>
      <c r="I218" t="s">
        <v>33</v>
      </c>
      <c r="J218" t="s">
        <v>35</v>
      </c>
      <c r="K218">
        <f>YEAR(financeData[[#This Row],[Date]])</f>
        <v>2023</v>
      </c>
    </row>
    <row r="219" spans="1:11" x14ac:dyDescent="0.3">
      <c r="A219" s="2">
        <v>44994.814207650263</v>
      </c>
      <c r="B219" t="s">
        <v>10</v>
      </c>
      <c r="C219" t="s">
        <v>21</v>
      </c>
      <c r="D219" t="s">
        <v>23</v>
      </c>
      <c r="E219">
        <v>107215</v>
      </c>
      <c r="F219">
        <v>28035</v>
      </c>
      <c r="G219">
        <v>114472</v>
      </c>
      <c r="H219" t="s">
        <v>29</v>
      </c>
      <c r="I219" t="s">
        <v>34</v>
      </c>
      <c r="J219" t="s">
        <v>35</v>
      </c>
      <c r="K219">
        <f>YEAR(financeData[[#This Row],[Date]])</f>
        <v>2023</v>
      </c>
    </row>
    <row r="220" spans="1:11" x14ac:dyDescent="0.3">
      <c r="A220" s="2">
        <v>44996.8087431694</v>
      </c>
      <c r="B220" t="s">
        <v>14</v>
      </c>
      <c r="C220" t="s">
        <v>17</v>
      </c>
      <c r="D220" t="s">
        <v>24</v>
      </c>
      <c r="E220">
        <v>139461</v>
      </c>
      <c r="F220">
        <v>32620</v>
      </c>
      <c r="G220">
        <v>90120</v>
      </c>
      <c r="H220" t="s">
        <v>28</v>
      </c>
      <c r="I220" t="s">
        <v>34</v>
      </c>
      <c r="J220" t="s">
        <v>35</v>
      </c>
      <c r="K220">
        <f>YEAR(financeData[[#This Row],[Date]])</f>
        <v>2023</v>
      </c>
    </row>
    <row r="221" spans="1:11" x14ac:dyDescent="0.3">
      <c r="A221" s="2">
        <v>44998.803278688523</v>
      </c>
      <c r="B221" t="s">
        <v>14</v>
      </c>
      <c r="C221" t="s">
        <v>17</v>
      </c>
      <c r="D221" t="s">
        <v>23</v>
      </c>
      <c r="E221">
        <v>149701</v>
      </c>
      <c r="F221">
        <v>21877</v>
      </c>
      <c r="G221">
        <v>94087</v>
      </c>
      <c r="H221" t="s">
        <v>30</v>
      </c>
      <c r="I221" t="s">
        <v>33</v>
      </c>
      <c r="J221" t="s">
        <v>35</v>
      </c>
      <c r="K221">
        <f>YEAR(financeData[[#This Row],[Date]])</f>
        <v>2023</v>
      </c>
    </row>
    <row r="222" spans="1:11" x14ac:dyDescent="0.3">
      <c r="A222" s="2">
        <v>45000.797814207639</v>
      </c>
      <c r="B222" t="s">
        <v>13</v>
      </c>
      <c r="C222" t="s">
        <v>18</v>
      </c>
      <c r="D222" t="s">
        <v>22</v>
      </c>
      <c r="E222">
        <v>66550</v>
      </c>
      <c r="F222">
        <v>57316</v>
      </c>
      <c r="G222">
        <v>70031</v>
      </c>
      <c r="H222" t="s">
        <v>29</v>
      </c>
      <c r="I222" t="s">
        <v>33</v>
      </c>
      <c r="J222" t="s">
        <v>36</v>
      </c>
      <c r="K222">
        <f>YEAR(financeData[[#This Row],[Date]])</f>
        <v>2023</v>
      </c>
    </row>
    <row r="223" spans="1:11" x14ac:dyDescent="0.3">
      <c r="A223" s="2">
        <v>45002.792349726769</v>
      </c>
      <c r="B223" t="s">
        <v>14</v>
      </c>
      <c r="C223" t="s">
        <v>16</v>
      </c>
      <c r="D223" t="s">
        <v>22</v>
      </c>
      <c r="E223">
        <v>29826</v>
      </c>
      <c r="F223">
        <v>66041</v>
      </c>
      <c r="G223">
        <v>38380</v>
      </c>
      <c r="H223" t="s">
        <v>30</v>
      </c>
      <c r="I223" t="s">
        <v>33</v>
      </c>
      <c r="J223" t="s">
        <v>35</v>
      </c>
      <c r="K223">
        <f>YEAR(financeData[[#This Row],[Date]])</f>
        <v>2023</v>
      </c>
    </row>
    <row r="224" spans="1:11" x14ac:dyDescent="0.3">
      <c r="A224" s="2">
        <v>45004.786885245892</v>
      </c>
      <c r="B224" t="s">
        <v>12</v>
      </c>
      <c r="C224" t="s">
        <v>15</v>
      </c>
      <c r="D224" t="s">
        <v>27</v>
      </c>
      <c r="E224">
        <v>105734</v>
      </c>
      <c r="F224">
        <v>55352</v>
      </c>
      <c r="G224">
        <v>117507</v>
      </c>
      <c r="H224" t="s">
        <v>28</v>
      </c>
      <c r="I224" t="s">
        <v>34</v>
      </c>
      <c r="J224" t="s">
        <v>35</v>
      </c>
      <c r="K224">
        <f>YEAR(financeData[[#This Row],[Date]])</f>
        <v>2023</v>
      </c>
    </row>
    <row r="225" spans="1:11" x14ac:dyDescent="0.3">
      <c r="A225" s="2">
        <v>45006.781420765023</v>
      </c>
      <c r="B225" t="s">
        <v>10</v>
      </c>
      <c r="C225" t="s">
        <v>15</v>
      </c>
      <c r="D225" t="s">
        <v>24</v>
      </c>
      <c r="E225">
        <v>103511</v>
      </c>
      <c r="F225">
        <v>32911</v>
      </c>
      <c r="G225">
        <v>22071</v>
      </c>
      <c r="H225" t="s">
        <v>30</v>
      </c>
      <c r="I225" t="s">
        <v>33</v>
      </c>
      <c r="J225" t="s">
        <v>35</v>
      </c>
      <c r="K225">
        <f>YEAR(financeData[[#This Row],[Date]])</f>
        <v>2023</v>
      </c>
    </row>
    <row r="226" spans="1:11" x14ac:dyDescent="0.3">
      <c r="A226" s="2">
        <v>45008.775956284153</v>
      </c>
      <c r="B226" t="s">
        <v>14</v>
      </c>
      <c r="C226" t="s">
        <v>21</v>
      </c>
      <c r="D226" t="s">
        <v>25</v>
      </c>
      <c r="E226">
        <v>16653</v>
      </c>
      <c r="F226">
        <v>34784</v>
      </c>
      <c r="G226">
        <v>25074</v>
      </c>
      <c r="H226" t="s">
        <v>30</v>
      </c>
      <c r="I226" t="s">
        <v>34</v>
      </c>
      <c r="J226" t="s">
        <v>36</v>
      </c>
      <c r="K226">
        <f>YEAR(financeData[[#This Row],[Date]])</f>
        <v>2023</v>
      </c>
    </row>
    <row r="227" spans="1:11" x14ac:dyDescent="0.3">
      <c r="A227" s="2">
        <v>45010.770491803283</v>
      </c>
      <c r="B227" t="s">
        <v>14</v>
      </c>
      <c r="C227" t="s">
        <v>18</v>
      </c>
      <c r="D227" t="s">
        <v>24</v>
      </c>
      <c r="E227">
        <v>86941</v>
      </c>
      <c r="F227">
        <v>5191</v>
      </c>
      <c r="G227">
        <v>95724</v>
      </c>
      <c r="H227" t="s">
        <v>30</v>
      </c>
      <c r="I227" t="s">
        <v>33</v>
      </c>
      <c r="J227" t="s">
        <v>36</v>
      </c>
      <c r="K227">
        <f>YEAR(financeData[[#This Row],[Date]])</f>
        <v>2023</v>
      </c>
    </row>
    <row r="228" spans="1:11" x14ac:dyDescent="0.3">
      <c r="A228" s="2">
        <v>45012.765027322399</v>
      </c>
      <c r="B228" t="s">
        <v>13</v>
      </c>
      <c r="C228" t="s">
        <v>20</v>
      </c>
      <c r="D228" t="s">
        <v>25</v>
      </c>
      <c r="E228">
        <v>38662</v>
      </c>
      <c r="F228">
        <v>35160</v>
      </c>
      <c r="G228">
        <v>72843</v>
      </c>
      <c r="H228" t="s">
        <v>30</v>
      </c>
      <c r="I228" t="s">
        <v>34</v>
      </c>
      <c r="J228" t="s">
        <v>35</v>
      </c>
      <c r="K228">
        <f>YEAR(financeData[[#This Row],[Date]])</f>
        <v>2023</v>
      </c>
    </row>
    <row r="229" spans="1:11" x14ac:dyDescent="0.3">
      <c r="A229" s="2">
        <v>45014.759562841529</v>
      </c>
      <c r="B229" t="s">
        <v>13</v>
      </c>
      <c r="C229" t="s">
        <v>16</v>
      </c>
      <c r="D229" t="s">
        <v>26</v>
      </c>
      <c r="E229">
        <v>103818</v>
      </c>
      <c r="F229">
        <v>92536</v>
      </c>
      <c r="G229">
        <v>44901</v>
      </c>
      <c r="H229" t="s">
        <v>28</v>
      </c>
      <c r="I229" t="s">
        <v>34</v>
      </c>
      <c r="J229" t="s">
        <v>35</v>
      </c>
      <c r="K229">
        <f>YEAR(financeData[[#This Row],[Date]])</f>
        <v>2023</v>
      </c>
    </row>
    <row r="230" spans="1:11" x14ac:dyDescent="0.3">
      <c r="A230" s="2">
        <v>45016.754098360652</v>
      </c>
      <c r="B230" t="s">
        <v>12</v>
      </c>
      <c r="C230" t="s">
        <v>18</v>
      </c>
      <c r="D230" t="s">
        <v>24</v>
      </c>
      <c r="E230">
        <v>100081</v>
      </c>
      <c r="F230">
        <v>66641</v>
      </c>
      <c r="G230">
        <v>16205</v>
      </c>
      <c r="H230" t="s">
        <v>29</v>
      </c>
      <c r="I230" t="s">
        <v>32</v>
      </c>
      <c r="J230" t="s">
        <v>36</v>
      </c>
      <c r="K230">
        <f>YEAR(financeData[[#This Row],[Date]])</f>
        <v>2023</v>
      </c>
    </row>
    <row r="231" spans="1:11" x14ac:dyDescent="0.3">
      <c r="A231" s="2">
        <v>45018.748633879783</v>
      </c>
      <c r="B231" t="s">
        <v>10</v>
      </c>
      <c r="C231" t="s">
        <v>16</v>
      </c>
      <c r="D231" t="s">
        <v>26</v>
      </c>
      <c r="E231">
        <v>41877</v>
      </c>
      <c r="F231">
        <v>51723</v>
      </c>
      <c r="G231">
        <v>60661</v>
      </c>
      <c r="H231" t="s">
        <v>31</v>
      </c>
      <c r="I231" t="s">
        <v>33</v>
      </c>
      <c r="J231" t="s">
        <v>36</v>
      </c>
      <c r="K231">
        <f>YEAR(financeData[[#This Row],[Date]])</f>
        <v>2023</v>
      </c>
    </row>
    <row r="232" spans="1:11" x14ac:dyDescent="0.3">
      <c r="A232" s="2">
        <v>45020.743169398898</v>
      </c>
      <c r="B232" t="s">
        <v>13</v>
      </c>
      <c r="C232" t="s">
        <v>16</v>
      </c>
      <c r="D232" t="s">
        <v>22</v>
      </c>
      <c r="E232">
        <v>116562</v>
      </c>
      <c r="F232">
        <v>5631</v>
      </c>
      <c r="G232">
        <v>10906</v>
      </c>
      <c r="H232" t="s">
        <v>30</v>
      </c>
      <c r="I232" t="s">
        <v>33</v>
      </c>
      <c r="J232" t="s">
        <v>36</v>
      </c>
      <c r="K232">
        <f>YEAR(financeData[[#This Row],[Date]])</f>
        <v>2023</v>
      </c>
    </row>
    <row r="233" spans="1:11" x14ac:dyDescent="0.3">
      <c r="A233" s="2">
        <v>45022.737704918043</v>
      </c>
      <c r="B233" t="s">
        <v>14</v>
      </c>
      <c r="C233" t="s">
        <v>16</v>
      </c>
      <c r="D233" t="s">
        <v>22</v>
      </c>
      <c r="E233">
        <v>77715</v>
      </c>
      <c r="F233">
        <v>8172</v>
      </c>
      <c r="G233">
        <v>7591</v>
      </c>
      <c r="H233" t="s">
        <v>29</v>
      </c>
      <c r="I233" t="s">
        <v>34</v>
      </c>
      <c r="J233" t="s">
        <v>36</v>
      </c>
      <c r="K233">
        <f>YEAR(financeData[[#This Row],[Date]])</f>
        <v>2023</v>
      </c>
    </row>
    <row r="234" spans="1:11" x14ac:dyDescent="0.3">
      <c r="A234" s="2">
        <v>45024.732240437152</v>
      </c>
      <c r="B234" t="s">
        <v>10</v>
      </c>
      <c r="C234" t="s">
        <v>18</v>
      </c>
      <c r="D234" t="s">
        <v>27</v>
      </c>
      <c r="E234">
        <v>146398</v>
      </c>
      <c r="F234">
        <v>44080</v>
      </c>
      <c r="G234">
        <v>67987</v>
      </c>
      <c r="H234" t="s">
        <v>29</v>
      </c>
      <c r="I234" t="s">
        <v>34</v>
      </c>
      <c r="J234" t="s">
        <v>36</v>
      </c>
      <c r="K234">
        <f>YEAR(financeData[[#This Row],[Date]])</f>
        <v>2023</v>
      </c>
    </row>
    <row r="235" spans="1:11" x14ac:dyDescent="0.3">
      <c r="A235" s="2">
        <v>45026.726775956267</v>
      </c>
      <c r="B235" t="s">
        <v>10</v>
      </c>
      <c r="C235" t="s">
        <v>21</v>
      </c>
      <c r="D235" t="s">
        <v>24</v>
      </c>
      <c r="E235">
        <v>115091</v>
      </c>
      <c r="F235">
        <v>91097</v>
      </c>
      <c r="G235">
        <v>68370</v>
      </c>
      <c r="H235" t="s">
        <v>28</v>
      </c>
      <c r="I235" t="s">
        <v>34</v>
      </c>
      <c r="J235" t="s">
        <v>36</v>
      </c>
      <c r="K235">
        <f>YEAR(financeData[[#This Row],[Date]])</f>
        <v>2023</v>
      </c>
    </row>
    <row r="236" spans="1:11" x14ac:dyDescent="0.3">
      <c r="A236" s="2">
        <v>45028.721311475398</v>
      </c>
      <c r="B236" t="s">
        <v>14</v>
      </c>
      <c r="C236" t="s">
        <v>15</v>
      </c>
      <c r="D236" t="s">
        <v>26</v>
      </c>
      <c r="E236">
        <v>137632</v>
      </c>
      <c r="F236">
        <v>92353</v>
      </c>
      <c r="G236">
        <v>85685</v>
      </c>
      <c r="H236" t="s">
        <v>29</v>
      </c>
      <c r="I236" t="s">
        <v>32</v>
      </c>
      <c r="J236" t="s">
        <v>36</v>
      </c>
      <c r="K236">
        <f>YEAR(financeData[[#This Row],[Date]])</f>
        <v>2023</v>
      </c>
    </row>
    <row r="237" spans="1:11" x14ac:dyDescent="0.3">
      <c r="A237" s="2">
        <v>45030.715846994528</v>
      </c>
      <c r="B237" t="s">
        <v>13</v>
      </c>
      <c r="C237" t="s">
        <v>15</v>
      </c>
      <c r="D237" t="s">
        <v>25</v>
      </c>
      <c r="E237">
        <v>84148</v>
      </c>
      <c r="F237">
        <v>22281</v>
      </c>
      <c r="G237">
        <v>115454</v>
      </c>
      <c r="H237" t="s">
        <v>28</v>
      </c>
      <c r="I237" t="s">
        <v>32</v>
      </c>
      <c r="J237" t="s">
        <v>36</v>
      </c>
      <c r="K237">
        <f>YEAR(financeData[[#This Row],[Date]])</f>
        <v>2023</v>
      </c>
    </row>
    <row r="238" spans="1:11" x14ac:dyDescent="0.3">
      <c r="A238" s="2">
        <v>45032.710382513658</v>
      </c>
      <c r="B238" t="s">
        <v>14</v>
      </c>
      <c r="C238" t="s">
        <v>21</v>
      </c>
      <c r="D238" t="s">
        <v>22</v>
      </c>
      <c r="E238">
        <v>88186</v>
      </c>
      <c r="F238">
        <v>30671</v>
      </c>
      <c r="G238">
        <v>110487</v>
      </c>
      <c r="H238" t="s">
        <v>30</v>
      </c>
      <c r="I238" t="s">
        <v>34</v>
      </c>
      <c r="J238" t="s">
        <v>35</v>
      </c>
      <c r="K238">
        <f>YEAR(financeData[[#This Row],[Date]])</f>
        <v>2023</v>
      </c>
    </row>
    <row r="239" spans="1:11" x14ac:dyDescent="0.3">
      <c r="A239" s="2">
        <v>45034.704918032781</v>
      </c>
      <c r="B239" t="s">
        <v>10</v>
      </c>
      <c r="C239" t="s">
        <v>16</v>
      </c>
      <c r="D239" t="s">
        <v>22</v>
      </c>
      <c r="E239">
        <v>128629</v>
      </c>
      <c r="F239">
        <v>53431</v>
      </c>
      <c r="G239">
        <v>59400</v>
      </c>
      <c r="H239" t="s">
        <v>30</v>
      </c>
      <c r="I239" t="s">
        <v>33</v>
      </c>
      <c r="J239" t="s">
        <v>35</v>
      </c>
      <c r="K239">
        <f>YEAR(financeData[[#This Row],[Date]])</f>
        <v>2023</v>
      </c>
    </row>
    <row r="240" spans="1:11" x14ac:dyDescent="0.3">
      <c r="A240" s="2">
        <v>45036.699453551912</v>
      </c>
      <c r="B240" t="s">
        <v>11</v>
      </c>
      <c r="C240" t="s">
        <v>20</v>
      </c>
      <c r="D240" t="s">
        <v>25</v>
      </c>
      <c r="E240">
        <v>75316</v>
      </c>
      <c r="F240">
        <v>92900</v>
      </c>
      <c r="G240">
        <v>30150</v>
      </c>
      <c r="H240" t="s">
        <v>31</v>
      </c>
      <c r="I240" t="s">
        <v>33</v>
      </c>
      <c r="J240" t="s">
        <v>35</v>
      </c>
      <c r="K240">
        <f>YEAR(financeData[[#This Row],[Date]])</f>
        <v>2023</v>
      </c>
    </row>
    <row r="241" spans="1:11" x14ac:dyDescent="0.3">
      <c r="A241" s="2">
        <v>45038.693989071027</v>
      </c>
      <c r="B241" t="s">
        <v>11</v>
      </c>
      <c r="C241" t="s">
        <v>19</v>
      </c>
      <c r="D241" t="s">
        <v>26</v>
      </c>
      <c r="E241">
        <v>33380</v>
      </c>
      <c r="F241">
        <v>94961</v>
      </c>
      <c r="G241">
        <v>36852</v>
      </c>
      <c r="H241" t="s">
        <v>31</v>
      </c>
      <c r="I241" t="s">
        <v>32</v>
      </c>
      <c r="J241" t="s">
        <v>35</v>
      </c>
      <c r="K241">
        <f>YEAR(financeData[[#This Row],[Date]])</f>
        <v>2023</v>
      </c>
    </row>
    <row r="242" spans="1:11" x14ac:dyDescent="0.3">
      <c r="A242" s="2">
        <v>45040.688524590158</v>
      </c>
      <c r="B242" t="s">
        <v>12</v>
      </c>
      <c r="C242" t="s">
        <v>18</v>
      </c>
      <c r="D242" t="s">
        <v>26</v>
      </c>
      <c r="E242">
        <v>115198</v>
      </c>
      <c r="F242">
        <v>30602</v>
      </c>
      <c r="G242">
        <v>47870</v>
      </c>
      <c r="H242" t="s">
        <v>31</v>
      </c>
      <c r="I242" t="s">
        <v>32</v>
      </c>
      <c r="J242" t="s">
        <v>35</v>
      </c>
      <c r="K242">
        <f>YEAR(financeData[[#This Row],[Date]])</f>
        <v>2023</v>
      </c>
    </row>
    <row r="243" spans="1:11" x14ac:dyDescent="0.3">
      <c r="A243" s="2">
        <v>45042.683060109281</v>
      </c>
      <c r="B243" t="s">
        <v>14</v>
      </c>
      <c r="C243" t="s">
        <v>19</v>
      </c>
      <c r="D243" t="s">
        <v>24</v>
      </c>
      <c r="E243">
        <v>7356</v>
      </c>
      <c r="F243">
        <v>90789</v>
      </c>
      <c r="G243">
        <v>57756</v>
      </c>
      <c r="H243" t="s">
        <v>29</v>
      </c>
      <c r="I243" t="s">
        <v>34</v>
      </c>
      <c r="J243" t="s">
        <v>35</v>
      </c>
      <c r="K243">
        <f>YEAR(financeData[[#This Row],[Date]])</f>
        <v>2023</v>
      </c>
    </row>
    <row r="244" spans="1:11" x14ac:dyDescent="0.3">
      <c r="A244" s="2">
        <v>45044.677595628411</v>
      </c>
      <c r="B244" t="s">
        <v>14</v>
      </c>
      <c r="C244" t="s">
        <v>21</v>
      </c>
      <c r="D244" t="s">
        <v>24</v>
      </c>
      <c r="E244">
        <v>75326</v>
      </c>
      <c r="F244">
        <v>53399</v>
      </c>
      <c r="G244">
        <v>61481</v>
      </c>
      <c r="H244" t="s">
        <v>30</v>
      </c>
      <c r="I244" t="s">
        <v>33</v>
      </c>
      <c r="J244" t="s">
        <v>36</v>
      </c>
      <c r="K244">
        <f>YEAR(financeData[[#This Row],[Date]])</f>
        <v>2023</v>
      </c>
    </row>
    <row r="245" spans="1:11" x14ac:dyDescent="0.3">
      <c r="A245" s="2">
        <v>45046.672131147527</v>
      </c>
      <c r="B245" t="s">
        <v>12</v>
      </c>
      <c r="C245" t="s">
        <v>20</v>
      </c>
      <c r="D245" t="s">
        <v>23</v>
      </c>
      <c r="E245">
        <v>97447</v>
      </c>
      <c r="F245">
        <v>25472</v>
      </c>
      <c r="G245">
        <v>6283</v>
      </c>
      <c r="H245" t="s">
        <v>28</v>
      </c>
      <c r="I245" t="s">
        <v>34</v>
      </c>
      <c r="J245" t="s">
        <v>36</v>
      </c>
      <c r="K245">
        <f>YEAR(financeData[[#This Row],[Date]])</f>
        <v>2023</v>
      </c>
    </row>
    <row r="246" spans="1:11" x14ac:dyDescent="0.3">
      <c r="A246" s="2">
        <v>45048.666666666657</v>
      </c>
      <c r="B246" t="s">
        <v>12</v>
      </c>
      <c r="C246" t="s">
        <v>18</v>
      </c>
      <c r="D246" t="s">
        <v>23</v>
      </c>
      <c r="E246">
        <v>119994</v>
      </c>
      <c r="F246">
        <v>51230</v>
      </c>
      <c r="G246">
        <v>38691</v>
      </c>
      <c r="H246" t="s">
        <v>31</v>
      </c>
      <c r="I246" t="s">
        <v>32</v>
      </c>
      <c r="J246" t="s">
        <v>35</v>
      </c>
      <c r="K246">
        <f>YEAR(financeData[[#This Row],[Date]])</f>
        <v>2023</v>
      </c>
    </row>
    <row r="247" spans="1:11" x14ac:dyDescent="0.3">
      <c r="A247" s="2">
        <v>45050.661202185787</v>
      </c>
      <c r="B247" t="s">
        <v>12</v>
      </c>
      <c r="C247" t="s">
        <v>21</v>
      </c>
      <c r="D247" t="s">
        <v>27</v>
      </c>
      <c r="E247">
        <v>25049</v>
      </c>
      <c r="F247">
        <v>75616</v>
      </c>
      <c r="G247">
        <v>6125</v>
      </c>
      <c r="H247" t="s">
        <v>28</v>
      </c>
      <c r="I247" t="s">
        <v>33</v>
      </c>
      <c r="J247" t="s">
        <v>35</v>
      </c>
      <c r="K247">
        <f>YEAR(financeData[[#This Row],[Date]])</f>
        <v>2023</v>
      </c>
    </row>
    <row r="248" spans="1:11" x14ac:dyDescent="0.3">
      <c r="A248" s="2">
        <v>45052.65573770491</v>
      </c>
      <c r="B248" t="s">
        <v>10</v>
      </c>
      <c r="C248" t="s">
        <v>16</v>
      </c>
      <c r="D248" t="s">
        <v>22</v>
      </c>
      <c r="E248">
        <v>110361</v>
      </c>
      <c r="F248">
        <v>9099</v>
      </c>
      <c r="G248">
        <v>72065</v>
      </c>
      <c r="H248" t="s">
        <v>28</v>
      </c>
      <c r="I248" t="s">
        <v>33</v>
      </c>
      <c r="J248" t="s">
        <v>36</v>
      </c>
      <c r="K248">
        <f>YEAR(financeData[[#This Row],[Date]])</f>
        <v>2023</v>
      </c>
    </row>
    <row r="249" spans="1:11" x14ac:dyDescent="0.3">
      <c r="A249" s="2">
        <v>45054.650273224041</v>
      </c>
      <c r="B249" t="s">
        <v>14</v>
      </c>
      <c r="C249" t="s">
        <v>15</v>
      </c>
      <c r="D249" t="s">
        <v>24</v>
      </c>
      <c r="E249">
        <v>21082</v>
      </c>
      <c r="F249">
        <v>27431</v>
      </c>
      <c r="G249">
        <v>31170</v>
      </c>
      <c r="H249" t="s">
        <v>31</v>
      </c>
      <c r="I249" t="s">
        <v>32</v>
      </c>
      <c r="J249" t="s">
        <v>36</v>
      </c>
      <c r="K249">
        <f>YEAR(financeData[[#This Row],[Date]])</f>
        <v>2023</v>
      </c>
    </row>
    <row r="250" spans="1:11" x14ac:dyDescent="0.3">
      <c r="A250" s="2">
        <v>45056.644808743164</v>
      </c>
      <c r="B250" t="s">
        <v>10</v>
      </c>
      <c r="C250" t="s">
        <v>19</v>
      </c>
      <c r="D250" t="s">
        <v>26</v>
      </c>
      <c r="E250">
        <v>5661</v>
      </c>
      <c r="F250">
        <v>58492</v>
      </c>
      <c r="G250">
        <v>13438</v>
      </c>
      <c r="H250" t="s">
        <v>30</v>
      </c>
      <c r="I250" t="s">
        <v>34</v>
      </c>
      <c r="J250" t="s">
        <v>36</v>
      </c>
      <c r="K250">
        <f>YEAR(financeData[[#This Row],[Date]])</f>
        <v>2023</v>
      </c>
    </row>
    <row r="251" spans="1:11" x14ac:dyDescent="0.3">
      <c r="A251" s="2">
        <v>45058.639344262287</v>
      </c>
      <c r="B251" t="s">
        <v>12</v>
      </c>
      <c r="C251" t="s">
        <v>17</v>
      </c>
      <c r="D251" t="s">
        <v>25</v>
      </c>
      <c r="E251">
        <v>7920</v>
      </c>
      <c r="F251">
        <v>98722</v>
      </c>
      <c r="G251">
        <v>25095</v>
      </c>
      <c r="H251" t="s">
        <v>31</v>
      </c>
      <c r="I251" t="s">
        <v>34</v>
      </c>
      <c r="J251" t="s">
        <v>35</v>
      </c>
      <c r="K251">
        <f>YEAR(financeData[[#This Row],[Date]])</f>
        <v>2023</v>
      </c>
    </row>
    <row r="252" spans="1:11" x14ac:dyDescent="0.3">
      <c r="A252" s="2">
        <v>45060.63387978141</v>
      </c>
      <c r="B252" t="s">
        <v>14</v>
      </c>
      <c r="C252" t="s">
        <v>17</v>
      </c>
      <c r="D252" t="s">
        <v>26</v>
      </c>
      <c r="E252">
        <v>84561</v>
      </c>
      <c r="F252">
        <v>49684</v>
      </c>
      <c r="G252">
        <v>21154</v>
      </c>
      <c r="H252" t="s">
        <v>28</v>
      </c>
      <c r="I252" t="s">
        <v>33</v>
      </c>
      <c r="J252" t="s">
        <v>36</v>
      </c>
      <c r="K252">
        <f>YEAR(financeData[[#This Row],[Date]])</f>
        <v>2023</v>
      </c>
    </row>
    <row r="253" spans="1:11" x14ac:dyDescent="0.3">
      <c r="A253" s="2">
        <v>45062.628415300547</v>
      </c>
      <c r="B253" t="s">
        <v>10</v>
      </c>
      <c r="C253" t="s">
        <v>20</v>
      </c>
      <c r="D253" t="s">
        <v>22</v>
      </c>
      <c r="E253">
        <v>13946</v>
      </c>
      <c r="F253">
        <v>32111</v>
      </c>
      <c r="G253">
        <v>13004</v>
      </c>
      <c r="H253" t="s">
        <v>31</v>
      </c>
      <c r="I253" t="s">
        <v>32</v>
      </c>
      <c r="J253" t="s">
        <v>35</v>
      </c>
      <c r="K253">
        <f>YEAR(financeData[[#This Row],[Date]])</f>
        <v>2023</v>
      </c>
    </row>
    <row r="254" spans="1:11" x14ac:dyDescent="0.3">
      <c r="A254" s="2">
        <v>45064.622950819663</v>
      </c>
      <c r="B254" t="s">
        <v>10</v>
      </c>
      <c r="C254" t="s">
        <v>16</v>
      </c>
      <c r="D254" t="s">
        <v>23</v>
      </c>
      <c r="E254">
        <v>21309</v>
      </c>
      <c r="F254">
        <v>65936</v>
      </c>
      <c r="G254">
        <v>14752</v>
      </c>
      <c r="H254" t="s">
        <v>28</v>
      </c>
      <c r="I254" t="s">
        <v>33</v>
      </c>
      <c r="J254" t="s">
        <v>35</v>
      </c>
      <c r="K254">
        <f>YEAR(financeData[[#This Row],[Date]])</f>
        <v>2023</v>
      </c>
    </row>
    <row r="255" spans="1:11" x14ac:dyDescent="0.3">
      <c r="A255" s="2">
        <v>45066.617486338793</v>
      </c>
      <c r="B255" t="s">
        <v>12</v>
      </c>
      <c r="C255" t="s">
        <v>19</v>
      </c>
      <c r="D255" t="s">
        <v>26</v>
      </c>
      <c r="E255">
        <v>60230</v>
      </c>
      <c r="F255">
        <v>24614</v>
      </c>
      <c r="G255">
        <v>60426</v>
      </c>
      <c r="H255" t="s">
        <v>28</v>
      </c>
      <c r="I255" t="s">
        <v>32</v>
      </c>
      <c r="J255" t="s">
        <v>36</v>
      </c>
      <c r="K255">
        <f>YEAR(financeData[[#This Row],[Date]])</f>
        <v>2023</v>
      </c>
    </row>
    <row r="256" spans="1:11" x14ac:dyDescent="0.3">
      <c r="A256" s="2">
        <v>45068.612021857924</v>
      </c>
      <c r="B256" t="s">
        <v>14</v>
      </c>
      <c r="C256" t="s">
        <v>16</v>
      </c>
      <c r="D256" t="s">
        <v>27</v>
      </c>
      <c r="E256">
        <v>116822</v>
      </c>
      <c r="F256">
        <v>94260</v>
      </c>
      <c r="G256">
        <v>113896</v>
      </c>
      <c r="H256" t="s">
        <v>31</v>
      </c>
      <c r="I256" t="s">
        <v>34</v>
      </c>
      <c r="J256" t="s">
        <v>36</v>
      </c>
      <c r="K256">
        <f>YEAR(financeData[[#This Row],[Date]])</f>
        <v>2023</v>
      </c>
    </row>
    <row r="257" spans="1:11" x14ac:dyDescent="0.3">
      <c r="A257" s="2">
        <v>45070.606557377047</v>
      </c>
      <c r="B257" t="s">
        <v>12</v>
      </c>
      <c r="C257" t="s">
        <v>19</v>
      </c>
      <c r="D257" t="s">
        <v>22</v>
      </c>
      <c r="E257">
        <v>117340</v>
      </c>
      <c r="F257">
        <v>43991</v>
      </c>
      <c r="G257">
        <v>31819</v>
      </c>
      <c r="H257" t="s">
        <v>29</v>
      </c>
      <c r="I257" t="s">
        <v>32</v>
      </c>
      <c r="J257" t="s">
        <v>35</v>
      </c>
      <c r="K257">
        <f>YEAR(financeData[[#This Row],[Date]])</f>
        <v>2023</v>
      </c>
    </row>
    <row r="258" spans="1:11" x14ac:dyDescent="0.3">
      <c r="A258" s="2">
        <v>45072.60109289617</v>
      </c>
      <c r="B258" t="s">
        <v>14</v>
      </c>
      <c r="C258" t="s">
        <v>20</v>
      </c>
      <c r="D258" t="s">
        <v>23</v>
      </c>
      <c r="E258">
        <v>64321</v>
      </c>
      <c r="F258">
        <v>72476</v>
      </c>
      <c r="G258">
        <v>107168</v>
      </c>
      <c r="H258" t="s">
        <v>31</v>
      </c>
      <c r="I258" t="s">
        <v>34</v>
      </c>
      <c r="J258" t="s">
        <v>36</v>
      </c>
      <c r="K258">
        <f>YEAR(financeData[[#This Row],[Date]])</f>
        <v>2023</v>
      </c>
    </row>
    <row r="259" spans="1:11" x14ac:dyDescent="0.3">
      <c r="A259" s="2">
        <v>45074.595628415293</v>
      </c>
      <c r="B259" t="s">
        <v>11</v>
      </c>
      <c r="C259" t="s">
        <v>20</v>
      </c>
      <c r="D259" t="s">
        <v>25</v>
      </c>
      <c r="E259">
        <v>137028</v>
      </c>
      <c r="F259">
        <v>62920</v>
      </c>
      <c r="G259">
        <v>97051</v>
      </c>
      <c r="H259" t="s">
        <v>29</v>
      </c>
      <c r="I259" t="s">
        <v>32</v>
      </c>
      <c r="J259" t="s">
        <v>36</v>
      </c>
      <c r="K259">
        <f>YEAR(financeData[[#This Row],[Date]])</f>
        <v>2023</v>
      </c>
    </row>
    <row r="260" spans="1:11" x14ac:dyDescent="0.3">
      <c r="A260" s="2">
        <v>45076.590163934423</v>
      </c>
      <c r="B260" t="s">
        <v>13</v>
      </c>
      <c r="C260" t="s">
        <v>17</v>
      </c>
      <c r="D260" t="s">
        <v>23</v>
      </c>
      <c r="E260">
        <v>79131</v>
      </c>
      <c r="F260">
        <v>96294</v>
      </c>
      <c r="G260">
        <v>29217</v>
      </c>
      <c r="H260" t="s">
        <v>28</v>
      </c>
      <c r="I260" t="s">
        <v>33</v>
      </c>
      <c r="J260" t="s">
        <v>35</v>
      </c>
      <c r="K260">
        <f>YEAR(financeData[[#This Row],[Date]])</f>
        <v>2023</v>
      </c>
    </row>
    <row r="261" spans="1:11" x14ac:dyDescent="0.3">
      <c r="A261" s="2">
        <v>45078.584699453539</v>
      </c>
      <c r="B261" t="s">
        <v>13</v>
      </c>
      <c r="C261" t="s">
        <v>16</v>
      </c>
      <c r="D261" t="s">
        <v>27</v>
      </c>
      <c r="E261">
        <v>30963</v>
      </c>
      <c r="F261">
        <v>65530</v>
      </c>
      <c r="G261">
        <v>93708</v>
      </c>
      <c r="H261" t="s">
        <v>28</v>
      </c>
      <c r="I261" t="s">
        <v>34</v>
      </c>
      <c r="J261" t="s">
        <v>36</v>
      </c>
      <c r="K261">
        <f>YEAR(financeData[[#This Row],[Date]])</f>
        <v>2023</v>
      </c>
    </row>
    <row r="262" spans="1:11" x14ac:dyDescent="0.3">
      <c r="A262" s="2">
        <v>45080.579234972683</v>
      </c>
      <c r="B262" t="s">
        <v>13</v>
      </c>
      <c r="C262" t="s">
        <v>18</v>
      </c>
      <c r="D262" t="s">
        <v>22</v>
      </c>
      <c r="E262">
        <v>106757</v>
      </c>
      <c r="F262">
        <v>38224</v>
      </c>
      <c r="G262">
        <v>37994</v>
      </c>
      <c r="H262" t="s">
        <v>29</v>
      </c>
      <c r="I262" t="s">
        <v>33</v>
      </c>
      <c r="J262" t="s">
        <v>35</v>
      </c>
      <c r="K262">
        <f>YEAR(financeData[[#This Row],[Date]])</f>
        <v>2023</v>
      </c>
    </row>
    <row r="263" spans="1:11" x14ac:dyDescent="0.3">
      <c r="A263" s="2">
        <v>45082.573770491792</v>
      </c>
      <c r="B263" t="s">
        <v>12</v>
      </c>
      <c r="C263" t="s">
        <v>17</v>
      </c>
      <c r="D263" t="s">
        <v>25</v>
      </c>
      <c r="E263">
        <v>104259</v>
      </c>
      <c r="F263">
        <v>9788</v>
      </c>
      <c r="G263">
        <v>20036</v>
      </c>
      <c r="H263" t="s">
        <v>28</v>
      </c>
      <c r="I263" t="s">
        <v>33</v>
      </c>
      <c r="J263" t="s">
        <v>35</v>
      </c>
      <c r="K263">
        <f>YEAR(financeData[[#This Row],[Date]])</f>
        <v>2023</v>
      </c>
    </row>
    <row r="264" spans="1:11" x14ac:dyDescent="0.3">
      <c r="A264" s="2">
        <v>45084.56830601093</v>
      </c>
      <c r="B264" t="s">
        <v>11</v>
      </c>
      <c r="C264" t="s">
        <v>16</v>
      </c>
      <c r="D264" t="s">
        <v>27</v>
      </c>
      <c r="E264">
        <v>44063</v>
      </c>
      <c r="F264">
        <v>30082</v>
      </c>
      <c r="G264">
        <v>82275</v>
      </c>
      <c r="H264" t="s">
        <v>29</v>
      </c>
      <c r="I264" t="s">
        <v>34</v>
      </c>
      <c r="J264" t="s">
        <v>36</v>
      </c>
      <c r="K264">
        <f>YEAR(financeData[[#This Row],[Date]])</f>
        <v>2023</v>
      </c>
    </row>
    <row r="265" spans="1:11" x14ac:dyDescent="0.3">
      <c r="A265" s="2">
        <v>45086.562841530053</v>
      </c>
      <c r="B265" t="s">
        <v>14</v>
      </c>
      <c r="C265" t="s">
        <v>17</v>
      </c>
      <c r="D265" t="s">
        <v>23</v>
      </c>
      <c r="E265">
        <v>119225</v>
      </c>
      <c r="F265">
        <v>91570</v>
      </c>
      <c r="G265">
        <v>102756</v>
      </c>
      <c r="H265" t="s">
        <v>29</v>
      </c>
      <c r="I265" t="s">
        <v>34</v>
      </c>
      <c r="J265" t="s">
        <v>35</v>
      </c>
      <c r="K265">
        <f>YEAR(financeData[[#This Row],[Date]])</f>
        <v>2023</v>
      </c>
    </row>
    <row r="266" spans="1:11" x14ac:dyDescent="0.3">
      <c r="A266" s="2">
        <v>45088.557377049183</v>
      </c>
      <c r="B266" t="s">
        <v>10</v>
      </c>
      <c r="C266" t="s">
        <v>18</v>
      </c>
      <c r="D266" t="s">
        <v>27</v>
      </c>
      <c r="E266">
        <v>121400</v>
      </c>
      <c r="F266">
        <v>78816</v>
      </c>
      <c r="G266">
        <v>54416</v>
      </c>
      <c r="H266" t="s">
        <v>28</v>
      </c>
      <c r="I266" t="s">
        <v>33</v>
      </c>
      <c r="J266" t="s">
        <v>35</v>
      </c>
      <c r="K266">
        <f>YEAR(financeData[[#This Row],[Date]])</f>
        <v>2023</v>
      </c>
    </row>
    <row r="267" spans="1:11" x14ac:dyDescent="0.3">
      <c r="A267" s="2">
        <v>45090.551912568299</v>
      </c>
      <c r="B267" t="s">
        <v>14</v>
      </c>
      <c r="C267" t="s">
        <v>15</v>
      </c>
      <c r="D267" t="s">
        <v>22</v>
      </c>
      <c r="E267">
        <v>85818</v>
      </c>
      <c r="F267">
        <v>85588</v>
      </c>
      <c r="G267">
        <v>14587</v>
      </c>
      <c r="H267" t="s">
        <v>30</v>
      </c>
      <c r="I267" t="s">
        <v>33</v>
      </c>
      <c r="J267" t="s">
        <v>36</v>
      </c>
      <c r="K267">
        <f>YEAR(financeData[[#This Row],[Date]])</f>
        <v>2023</v>
      </c>
    </row>
    <row r="268" spans="1:11" x14ac:dyDescent="0.3">
      <c r="A268" s="2">
        <v>45092.546448087429</v>
      </c>
      <c r="B268" t="s">
        <v>10</v>
      </c>
      <c r="C268" t="s">
        <v>15</v>
      </c>
      <c r="D268" t="s">
        <v>24</v>
      </c>
      <c r="E268">
        <v>9703</v>
      </c>
      <c r="F268">
        <v>18531</v>
      </c>
      <c r="G268">
        <v>115053</v>
      </c>
      <c r="H268" t="s">
        <v>29</v>
      </c>
      <c r="I268" t="s">
        <v>33</v>
      </c>
      <c r="J268" t="s">
        <v>36</v>
      </c>
      <c r="K268">
        <f>YEAR(financeData[[#This Row],[Date]])</f>
        <v>2023</v>
      </c>
    </row>
    <row r="269" spans="1:11" x14ac:dyDescent="0.3">
      <c r="A269" s="2">
        <v>45094.540983606552</v>
      </c>
      <c r="B269" t="s">
        <v>14</v>
      </c>
      <c r="C269" t="s">
        <v>15</v>
      </c>
      <c r="D269" t="s">
        <v>27</v>
      </c>
      <c r="E269">
        <v>77099</v>
      </c>
      <c r="F269">
        <v>90340</v>
      </c>
      <c r="G269">
        <v>100665</v>
      </c>
      <c r="H269" t="s">
        <v>31</v>
      </c>
      <c r="I269" t="s">
        <v>33</v>
      </c>
      <c r="J269" t="s">
        <v>36</v>
      </c>
      <c r="K269">
        <f>YEAR(financeData[[#This Row],[Date]])</f>
        <v>2023</v>
      </c>
    </row>
    <row r="270" spans="1:11" x14ac:dyDescent="0.3">
      <c r="A270" s="2">
        <v>45096.535519125682</v>
      </c>
      <c r="B270" t="s">
        <v>11</v>
      </c>
      <c r="C270" t="s">
        <v>15</v>
      </c>
      <c r="D270" t="s">
        <v>27</v>
      </c>
      <c r="E270">
        <v>36585</v>
      </c>
      <c r="F270">
        <v>96439</v>
      </c>
      <c r="G270">
        <v>5645</v>
      </c>
      <c r="H270" t="s">
        <v>31</v>
      </c>
      <c r="I270" t="s">
        <v>34</v>
      </c>
      <c r="J270" t="s">
        <v>35</v>
      </c>
      <c r="K270">
        <f>YEAR(financeData[[#This Row],[Date]])</f>
        <v>2023</v>
      </c>
    </row>
    <row r="271" spans="1:11" x14ac:dyDescent="0.3">
      <c r="A271" s="2">
        <v>45098.530054644812</v>
      </c>
      <c r="B271" t="s">
        <v>10</v>
      </c>
      <c r="C271" t="s">
        <v>21</v>
      </c>
      <c r="D271" t="s">
        <v>23</v>
      </c>
      <c r="E271">
        <v>48585</v>
      </c>
      <c r="F271">
        <v>46857</v>
      </c>
      <c r="G271">
        <v>35930</v>
      </c>
      <c r="H271" t="s">
        <v>28</v>
      </c>
      <c r="I271" t="s">
        <v>34</v>
      </c>
      <c r="J271" t="s">
        <v>35</v>
      </c>
      <c r="K271">
        <f>YEAR(financeData[[#This Row],[Date]])</f>
        <v>2023</v>
      </c>
    </row>
    <row r="272" spans="1:11" x14ac:dyDescent="0.3">
      <c r="A272" s="2">
        <v>45100.524590163921</v>
      </c>
      <c r="B272" t="s">
        <v>12</v>
      </c>
      <c r="C272" t="s">
        <v>19</v>
      </c>
      <c r="D272" t="s">
        <v>23</v>
      </c>
      <c r="E272">
        <v>31958</v>
      </c>
      <c r="F272">
        <v>12142</v>
      </c>
      <c r="G272">
        <v>86835</v>
      </c>
      <c r="H272" t="s">
        <v>30</v>
      </c>
      <c r="I272" t="s">
        <v>33</v>
      </c>
      <c r="J272" t="s">
        <v>36</v>
      </c>
      <c r="K272">
        <f>YEAR(financeData[[#This Row],[Date]])</f>
        <v>2023</v>
      </c>
    </row>
    <row r="273" spans="1:11" x14ac:dyDescent="0.3">
      <c r="A273" s="2">
        <v>45102.519125683059</v>
      </c>
      <c r="B273" t="s">
        <v>14</v>
      </c>
      <c r="C273" t="s">
        <v>21</v>
      </c>
      <c r="D273" t="s">
        <v>25</v>
      </c>
      <c r="E273">
        <v>31017</v>
      </c>
      <c r="F273">
        <v>50355</v>
      </c>
      <c r="G273">
        <v>35090</v>
      </c>
      <c r="H273" t="s">
        <v>28</v>
      </c>
      <c r="I273" t="s">
        <v>32</v>
      </c>
      <c r="J273" t="s">
        <v>35</v>
      </c>
      <c r="K273">
        <f>YEAR(financeData[[#This Row],[Date]])</f>
        <v>2023</v>
      </c>
    </row>
    <row r="274" spans="1:11" x14ac:dyDescent="0.3">
      <c r="A274" s="2">
        <v>45104.513661202167</v>
      </c>
      <c r="B274" t="s">
        <v>14</v>
      </c>
      <c r="C274" t="s">
        <v>21</v>
      </c>
      <c r="D274" t="s">
        <v>23</v>
      </c>
      <c r="E274">
        <v>129677</v>
      </c>
      <c r="F274">
        <v>11866</v>
      </c>
      <c r="G274">
        <v>92489</v>
      </c>
      <c r="H274" t="s">
        <v>30</v>
      </c>
      <c r="I274" t="s">
        <v>32</v>
      </c>
      <c r="J274" t="s">
        <v>36</v>
      </c>
      <c r="K274">
        <f>YEAR(financeData[[#This Row],[Date]])</f>
        <v>2023</v>
      </c>
    </row>
    <row r="275" spans="1:11" x14ac:dyDescent="0.3">
      <c r="A275" s="2">
        <v>45106.508196721297</v>
      </c>
      <c r="B275" t="s">
        <v>10</v>
      </c>
      <c r="C275" t="s">
        <v>21</v>
      </c>
      <c r="D275" t="s">
        <v>26</v>
      </c>
      <c r="E275">
        <v>148273</v>
      </c>
      <c r="F275">
        <v>72067</v>
      </c>
      <c r="G275">
        <v>57142</v>
      </c>
      <c r="H275" t="s">
        <v>29</v>
      </c>
      <c r="I275" t="s">
        <v>34</v>
      </c>
      <c r="J275" t="s">
        <v>36</v>
      </c>
      <c r="K275">
        <f>YEAR(financeData[[#This Row],[Date]])</f>
        <v>2023</v>
      </c>
    </row>
    <row r="276" spans="1:11" x14ac:dyDescent="0.3">
      <c r="A276" s="2">
        <v>45108.502732240428</v>
      </c>
      <c r="B276" t="s">
        <v>12</v>
      </c>
      <c r="C276" t="s">
        <v>15</v>
      </c>
      <c r="D276" t="s">
        <v>22</v>
      </c>
      <c r="E276">
        <v>34426</v>
      </c>
      <c r="F276">
        <v>66027</v>
      </c>
      <c r="G276">
        <v>116979</v>
      </c>
      <c r="H276" t="s">
        <v>29</v>
      </c>
      <c r="I276" t="s">
        <v>33</v>
      </c>
      <c r="J276" t="s">
        <v>35</v>
      </c>
      <c r="K276">
        <f>YEAR(financeData[[#This Row],[Date]])</f>
        <v>2023</v>
      </c>
    </row>
    <row r="277" spans="1:11" x14ac:dyDescent="0.3">
      <c r="A277" s="2">
        <v>45110.497267759558</v>
      </c>
      <c r="B277" t="s">
        <v>12</v>
      </c>
      <c r="C277" t="s">
        <v>18</v>
      </c>
      <c r="D277" t="s">
        <v>22</v>
      </c>
      <c r="E277">
        <v>22778</v>
      </c>
      <c r="F277">
        <v>59906</v>
      </c>
      <c r="G277">
        <v>31475</v>
      </c>
      <c r="H277" t="s">
        <v>29</v>
      </c>
      <c r="I277" t="s">
        <v>33</v>
      </c>
      <c r="J277" t="s">
        <v>36</v>
      </c>
      <c r="K277">
        <f>YEAR(financeData[[#This Row],[Date]])</f>
        <v>2023</v>
      </c>
    </row>
    <row r="278" spans="1:11" x14ac:dyDescent="0.3">
      <c r="A278" s="2">
        <v>45112.491803278681</v>
      </c>
      <c r="B278" t="s">
        <v>11</v>
      </c>
      <c r="C278" t="s">
        <v>20</v>
      </c>
      <c r="D278" t="s">
        <v>24</v>
      </c>
      <c r="E278">
        <v>47229</v>
      </c>
      <c r="F278">
        <v>30138</v>
      </c>
      <c r="G278">
        <v>23888</v>
      </c>
      <c r="H278" t="s">
        <v>29</v>
      </c>
      <c r="I278" t="s">
        <v>34</v>
      </c>
      <c r="J278" t="s">
        <v>35</v>
      </c>
      <c r="K278">
        <f>YEAR(financeData[[#This Row],[Date]])</f>
        <v>2023</v>
      </c>
    </row>
    <row r="279" spans="1:11" x14ac:dyDescent="0.3">
      <c r="A279" s="2">
        <v>45114.486338797811</v>
      </c>
      <c r="B279" t="s">
        <v>12</v>
      </c>
      <c r="C279" t="s">
        <v>20</v>
      </c>
      <c r="D279" t="s">
        <v>24</v>
      </c>
      <c r="E279">
        <v>91652</v>
      </c>
      <c r="F279">
        <v>94601</v>
      </c>
      <c r="G279">
        <v>48732</v>
      </c>
      <c r="H279" t="s">
        <v>31</v>
      </c>
      <c r="I279" t="s">
        <v>32</v>
      </c>
      <c r="J279" t="s">
        <v>35</v>
      </c>
      <c r="K279">
        <f>YEAR(financeData[[#This Row],[Date]])</f>
        <v>2023</v>
      </c>
    </row>
    <row r="280" spans="1:11" x14ac:dyDescent="0.3">
      <c r="A280" s="2">
        <v>45116.480874316927</v>
      </c>
      <c r="B280" t="s">
        <v>12</v>
      </c>
      <c r="C280" t="s">
        <v>19</v>
      </c>
      <c r="D280" t="s">
        <v>22</v>
      </c>
      <c r="E280">
        <v>133267</v>
      </c>
      <c r="F280">
        <v>31956</v>
      </c>
      <c r="G280">
        <v>86623</v>
      </c>
      <c r="H280" t="s">
        <v>31</v>
      </c>
      <c r="I280" t="s">
        <v>32</v>
      </c>
      <c r="J280" t="s">
        <v>36</v>
      </c>
      <c r="K280">
        <f>YEAR(financeData[[#This Row],[Date]])</f>
        <v>2023</v>
      </c>
    </row>
    <row r="281" spans="1:11" x14ac:dyDescent="0.3">
      <c r="A281" s="2">
        <v>45118.475409836057</v>
      </c>
      <c r="B281" t="s">
        <v>12</v>
      </c>
      <c r="C281" t="s">
        <v>15</v>
      </c>
      <c r="D281" t="s">
        <v>24</v>
      </c>
      <c r="E281">
        <v>131503</v>
      </c>
      <c r="F281">
        <v>78295</v>
      </c>
      <c r="G281">
        <v>51305</v>
      </c>
      <c r="H281" t="s">
        <v>28</v>
      </c>
      <c r="I281" t="s">
        <v>32</v>
      </c>
      <c r="J281" t="s">
        <v>35</v>
      </c>
      <c r="K281">
        <f>YEAR(financeData[[#This Row],[Date]])</f>
        <v>2023</v>
      </c>
    </row>
    <row r="282" spans="1:11" x14ac:dyDescent="0.3">
      <c r="A282" s="2">
        <v>45120.469945355188</v>
      </c>
      <c r="B282" t="s">
        <v>13</v>
      </c>
      <c r="C282" t="s">
        <v>15</v>
      </c>
      <c r="D282" t="s">
        <v>25</v>
      </c>
      <c r="E282">
        <v>89878</v>
      </c>
      <c r="F282">
        <v>7439</v>
      </c>
      <c r="G282">
        <v>51037</v>
      </c>
      <c r="H282" t="s">
        <v>30</v>
      </c>
      <c r="I282" t="s">
        <v>34</v>
      </c>
      <c r="J282" t="s">
        <v>36</v>
      </c>
      <c r="K282">
        <f>YEAR(financeData[[#This Row],[Date]])</f>
        <v>2023</v>
      </c>
    </row>
    <row r="283" spans="1:11" x14ac:dyDescent="0.3">
      <c r="A283" s="2">
        <v>45122.464480874303</v>
      </c>
      <c r="B283" t="s">
        <v>11</v>
      </c>
      <c r="C283" t="s">
        <v>15</v>
      </c>
      <c r="D283" t="s">
        <v>23</v>
      </c>
      <c r="E283">
        <v>62056</v>
      </c>
      <c r="F283">
        <v>49241</v>
      </c>
      <c r="G283">
        <v>14346</v>
      </c>
      <c r="H283" t="s">
        <v>29</v>
      </c>
      <c r="I283" t="s">
        <v>32</v>
      </c>
      <c r="J283" t="s">
        <v>35</v>
      </c>
      <c r="K283">
        <f>YEAR(financeData[[#This Row],[Date]])</f>
        <v>2023</v>
      </c>
    </row>
    <row r="284" spans="1:11" x14ac:dyDescent="0.3">
      <c r="A284" s="2">
        <v>45124.459016393441</v>
      </c>
      <c r="B284" t="s">
        <v>14</v>
      </c>
      <c r="C284" t="s">
        <v>17</v>
      </c>
      <c r="D284" t="s">
        <v>22</v>
      </c>
      <c r="E284">
        <v>24975</v>
      </c>
      <c r="F284">
        <v>44533</v>
      </c>
      <c r="G284">
        <v>5587</v>
      </c>
      <c r="H284" t="s">
        <v>29</v>
      </c>
      <c r="I284" t="s">
        <v>34</v>
      </c>
      <c r="J284" t="s">
        <v>35</v>
      </c>
      <c r="K284">
        <f>YEAR(financeData[[#This Row],[Date]])</f>
        <v>2023</v>
      </c>
    </row>
    <row r="285" spans="1:11" x14ac:dyDescent="0.3">
      <c r="A285" s="2">
        <v>45126.453551912557</v>
      </c>
      <c r="B285" t="s">
        <v>10</v>
      </c>
      <c r="C285" t="s">
        <v>16</v>
      </c>
      <c r="D285" t="s">
        <v>24</v>
      </c>
      <c r="E285">
        <v>147633</v>
      </c>
      <c r="F285">
        <v>30270</v>
      </c>
      <c r="G285">
        <v>17763</v>
      </c>
      <c r="H285" t="s">
        <v>30</v>
      </c>
      <c r="I285" t="s">
        <v>34</v>
      </c>
      <c r="J285" t="s">
        <v>35</v>
      </c>
      <c r="K285">
        <f>YEAR(financeData[[#This Row],[Date]])</f>
        <v>2023</v>
      </c>
    </row>
    <row r="286" spans="1:11" x14ac:dyDescent="0.3">
      <c r="A286" s="2">
        <v>45128.448087431687</v>
      </c>
      <c r="B286" t="s">
        <v>14</v>
      </c>
      <c r="C286" t="s">
        <v>17</v>
      </c>
      <c r="D286" t="s">
        <v>22</v>
      </c>
      <c r="E286">
        <v>93397</v>
      </c>
      <c r="F286">
        <v>80815</v>
      </c>
      <c r="G286">
        <v>64165</v>
      </c>
      <c r="H286" t="s">
        <v>30</v>
      </c>
      <c r="I286" t="s">
        <v>33</v>
      </c>
      <c r="J286" t="s">
        <v>36</v>
      </c>
      <c r="K286">
        <f>YEAR(financeData[[#This Row],[Date]])</f>
        <v>2023</v>
      </c>
    </row>
    <row r="287" spans="1:11" x14ac:dyDescent="0.3">
      <c r="A287" s="2">
        <v>45130.44262295081</v>
      </c>
      <c r="B287" t="s">
        <v>11</v>
      </c>
      <c r="C287" t="s">
        <v>16</v>
      </c>
      <c r="D287" t="s">
        <v>26</v>
      </c>
      <c r="E287">
        <v>38142</v>
      </c>
      <c r="F287">
        <v>41279</v>
      </c>
      <c r="G287">
        <v>112481</v>
      </c>
      <c r="H287" t="s">
        <v>28</v>
      </c>
      <c r="I287" t="s">
        <v>32</v>
      </c>
      <c r="J287" t="s">
        <v>35</v>
      </c>
      <c r="K287">
        <f>YEAR(financeData[[#This Row],[Date]])</f>
        <v>2023</v>
      </c>
    </row>
    <row r="288" spans="1:11" x14ac:dyDescent="0.3">
      <c r="A288" s="2">
        <v>45132.43715846994</v>
      </c>
      <c r="B288" t="s">
        <v>10</v>
      </c>
      <c r="C288" t="s">
        <v>15</v>
      </c>
      <c r="D288" t="s">
        <v>27</v>
      </c>
      <c r="E288">
        <v>31916</v>
      </c>
      <c r="F288">
        <v>25888</v>
      </c>
      <c r="G288">
        <v>74615</v>
      </c>
      <c r="H288" t="s">
        <v>30</v>
      </c>
      <c r="I288" t="s">
        <v>34</v>
      </c>
      <c r="J288" t="s">
        <v>36</v>
      </c>
      <c r="K288">
        <f>YEAR(financeData[[#This Row],[Date]])</f>
        <v>2023</v>
      </c>
    </row>
    <row r="289" spans="1:11" x14ac:dyDescent="0.3">
      <c r="A289" s="2">
        <v>45134.431693989063</v>
      </c>
      <c r="B289" t="s">
        <v>11</v>
      </c>
      <c r="C289" t="s">
        <v>15</v>
      </c>
      <c r="D289" t="s">
        <v>23</v>
      </c>
      <c r="E289">
        <v>69324</v>
      </c>
      <c r="F289">
        <v>19630</v>
      </c>
      <c r="G289">
        <v>41116</v>
      </c>
      <c r="H289" t="s">
        <v>29</v>
      </c>
      <c r="I289" t="s">
        <v>32</v>
      </c>
      <c r="J289" t="s">
        <v>35</v>
      </c>
      <c r="K289">
        <f>YEAR(financeData[[#This Row],[Date]])</f>
        <v>2023</v>
      </c>
    </row>
    <row r="290" spans="1:11" x14ac:dyDescent="0.3">
      <c r="A290" s="2">
        <v>45136.426229508194</v>
      </c>
      <c r="B290" t="s">
        <v>12</v>
      </c>
      <c r="C290" t="s">
        <v>17</v>
      </c>
      <c r="D290" t="s">
        <v>22</v>
      </c>
      <c r="E290">
        <v>130932</v>
      </c>
      <c r="F290">
        <v>63063</v>
      </c>
      <c r="G290">
        <v>90751</v>
      </c>
      <c r="H290" t="s">
        <v>29</v>
      </c>
      <c r="I290" t="s">
        <v>32</v>
      </c>
      <c r="J290" t="s">
        <v>35</v>
      </c>
      <c r="K290">
        <f>YEAR(financeData[[#This Row],[Date]])</f>
        <v>2023</v>
      </c>
    </row>
    <row r="291" spans="1:11" x14ac:dyDescent="0.3">
      <c r="A291" s="2">
        <v>45138.420765027317</v>
      </c>
      <c r="B291" t="s">
        <v>10</v>
      </c>
      <c r="C291" t="s">
        <v>17</v>
      </c>
      <c r="D291" t="s">
        <v>27</v>
      </c>
      <c r="E291">
        <v>140720</v>
      </c>
      <c r="F291">
        <v>37144</v>
      </c>
      <c r="G291">
        <v>96353</v>
      </c>
      <c r="H291" t="s">
        <v>29</v>
      </c>
      <c r="I291" t="s">
        <v>33</v>
      </c>
      <c r="J291" t="s">
        <v>36</v>
      </c>
      <c r="K291">
        <f>YEAR(financeData[[#This Row],[Date]])</f>
        <v>2023</v>
      </c>
    </row>
    <row r="292" spans="1:11" x14ac:dyDescent="0.3">
      <c r="A292" s="2">
        <v>45140.415300546447</v>
      </c>
      <c r="B292" t="s">
        <v>12</v>
      </c>
      <c r="C292" t="s">
        <v>16</v>
      </c>
      <c r="D292" t="s">
        <v>24</v>
      </c>
      <c r="E292">
        <v>101059</v>
      </c>
      <c r="F292">
        <v>54161</v>
      </c>
      <c r="G292">
        <v>95301</v>
      </c>
      <c r="H292" t="s">
        <v>29</v>
      </c>
      <c r="I292" t="s">
        <v>32</v>
      </c>
      <c r="J292" t="s">
        <v>36</v>
      </c>
      <c r="K292">
        <f>YEAR(financeData[[#This Row],[Date]])</f>
        <v>2023</v>
      </c>
    </row>
    <row r="293" spans="1:11" x14ac:dyDescent="0.3">
      <c r="A293" s="2">
        <v>45142.40983606557</v>
      </c>
      <c r="B293" t="s">
        <v>14</v>
      </c>
      <c r="C293" t="s">
        <v>20</v>
      </c>
      <c r="D293" t="s">
        <v>27</v>
      </c>
      <c r="E293">
        <v>103317</v>
      </c>
      <c r="F293">
        <v>98718</v>
      </c>
      <c r="G293">
        <v>100648</v>
      </c>
      <c r="H293" t="s">
        <v>29</v>
      </c>
      <c r="I293" t="s">
        <v>33</v>
      </c>
      <c r="J293" t="s">
        <v>36</v>
      </c>
      <c r="K293">
        <f>YEAR(financeData[[#This Row],[Date]])</f>
        <v>2023</v>
      </c>
    </row>
    <row r="294" spans="1:11" x14ac:dyDescent="0.3">
      <c r="A294" s="2">
        <v>45144.4043715847</v>
      </c>
      <c r="B294" t="s">
        <v>14</v>
      </c>
      <c r="C294" t="s">
        <v>16</v>
      </c>
      <c r="D294" t="s">
        <v>23</v>
      </c>
      <c r="E294">
        <v>40046</v>
      </c>
      <c r="F294">
        <v>93074</v>
      </c>
      <c r="G294">
        <v>30556</v>
      </c>
      <c r="H294" t="s">
        <v>28</v>
      </c>
      <c r="I294" t="s">
        <v>34</v>
      </c>
      <c r="J294" t="s">
        <v>36</v>
      </c>
      <c r="K294">
        <f>YEAR(financeData[[#This Row],[Date]])</f>
        <v>2023</v>
      </c>
    </row>
    <row r="295" spans="1:11" x14ac:dyDescent="0.3">
      <c r="A295" s="2">
        <v>45146.398907103823</v>
      </c>
      <c r="B295" t="s">
        <v>10</v>
      </c>
      <c r="C295" t="s">
        <v>17</v>
      </c>
      <c r="D295" t="s">
        <v>22</v>
      </c>
      <c r="E295">
        <v>106459</v>
      </c>
      <c r="F295">
        <v>79360</v>
      </c>
      <c r="G295">
        <v>64042</v>
      </c>
      <c r="H295" t="s">
        <v>29</v>
      </c>
      <c r="I295" t="s">
        <v>32</v>
      </c>
      <c r="J295" t="s">
        <v>36</v>
      </c>
      <c r="K295">
        <f>YEAR(financeData[[#This Row],[Date]])</f>
        <v>2023</v>
      </c>
    </row>
    <row r="296" spans="1:11" x14ac:dyDescent="0.3">
      <c r="A296" s="2">
        <v>45148.393442622939</v>
      </c>
      <c r="B296" t="s">
        <v>10</v>
      </c>
      <c r="C296" t="s">
        <v>18</v>
      </c>
      <c r="D296" t="s">
        <v>26</v>
      </c>
      <c r="E296">
        <v>50893</v>
      </c>
      <c r="F296">
        <v>52979</v>
      </c>
      <c r="G296">
        <v>23099</v>
      </c>
      <c r="H296" t="s">
        <v>28</v>
      </c>
      <c r="I296" t="s">
        <v>34</v>
      </c>
      <c r="J296" t="s">
        <v>35</v>
      </c>
      <c r="K296">
        <f>YEAR(financeData[[#This Row],[Date]])</f>
        <v>2023</v>
      </c>
    </row>
    <row r="297" spans="1:11" x14ac:dyDescent="0.3">
      <c r="A297" s="2">
        <v>45150.387978142069</v>
      </c>
      <c r="B297" t="s">
        <v>11</v>
      </c>
      <c r="C297" t="s">
        <v>17</v>
      </c>
      <c r="D297" t="s">
        <v>24</v>
      </c>
      <c r="E297">
        <v>106520</v>
      </c>
      <c r="F297">
        <v>99661</v>
      </c>
      <c r="G297">
        <v>114089</v>
      </c>
      <c r="H297" t="s">
        <v>29</v>
      </c>
      <c r="I297" t="s">
        <v>32</v>
      </c>
      <c r="J297" t="s">
        <v>35</v>
      </c>
      <c r="K297">
        <f>YEAR(financeData[[#This Row],[Date]])</f>
        <v>2023</v>
      </c>
    </row>
    <row r="298" spans="1:11" x14ac:dyDescent="0.3">
      <c r="A298" s="2">
        <v>45152.382513661192</v>
      </c>
      <c r="B298" t="s">
        <v>11</v>
      </c>
      <c r="C298" t="s">
        <v>18</v>
      </c>
      <c r="D298" t="s">
        <v>22</v>
      </c>
      <c r="E298">
        <v>130818</v>
      </c>
      <c r="F298">
        <v>8979</v>
      </c>
      <c r="G298">
        <v>50096</v>
      </c>
      <c r="H298" t="s">
        <v>31</v>
      </c>
      <c r="I298" t="s">
        <v>34</v>
      </c>
      <c r="J298" t="s">
        <v>36</v>
      </c>
      <c r="K298">
        <f>YEAR(financeData[[#This Row],[Date]])</f>
        <v>2023</v>
      </c>
    </row>
    <row r="299" spans="1:11" x14ac:dyDescent="0.3">
      <c r="A299" s="2">
        <v>45154.377049180323</v>
      </c>
      <c r="B299" t="s">
        <v>12</v>
      </c>
      <c r="C299" t="s">
        <v>19</v>
      </c>
      <c r="D299" t="s">
        <v>23</v>
      </c>
      <c r="E299">
        <v>66272</v>
      </c>
      <c r="F299">
        <v>28189</v>
      </c>
      <c r="G299">
        <v>76986</v>
      </c>
      <c r="H299" t="s">
        <v>31</v>
      </c>
      <c r="I299" t="s">
        <v>32</v>
      </c>
      <c r="J299" t="s">
        <v>35</v>
      </c>
      <c r="K299">
        <f>YEAR(financeData[[#This Row],[Date]])</f>
        <v>2023</v>
      </c>
    </row>
    <row r="300" spans="1:11" x14ac:dyDescent="0.3">
      <c r="A300" s="2">
        <v>45156.371584699453</v>
      </c>
      <c r="B300" t="s">
        <v>10</v>
      </c>
      <c r="C300" t="s">
        <v>17</v>
      </c>
      <c r="D300" t="s">
        <v>24</v>
      </c>
      <c r="E300">
        <v>72649</v>
      </c>
      <c r="F300">
        <v>44600</v>
      </c>
      <c r="G300">
        <v>18230</v>
      </c>
      <c r="H300" t="s">
        <v>31</v>
      </c>
      <c r="I300" t="s">
        <v>32</v>
      </c>
      <c r="J300" t="s">
        <v>35</v>
      </c>
      <c r="K300">
        <f>YEAR(financeData[[#This Row],[Date]])</f>
        <v>2023</v>
      </c>
    </row>
    <row r="301" spans="1:11" x14ac:dyDescent="0.3">
      <c r="A301" s="2">
        <v>45158.366120218583</v>
      </c>
      <c r="B301" t="s">
        <v>14</v>
      </c>
      <c r="C301" t="s">
        <v>19</v>
      </c>
      <c r="D301" t="s">
        <v>25</v>
      </c>
      <c r="E301">
        <v>69674</v>
      </c>
      <c r="F301">
        <v>61560</v>
      </c>
      <c r="G301">
        <v>34009</v>
      </c>
      <c r="H301" t="s">
        <v>31</v>
      </c>
      <c r="I301" t="s">
        <v>32</v>
      </c>
      <c r="J301" t="s">
        <v>35</v>
      </c>
      <c r="K301">
        <f>YEAR(financeData[[#This Row],[Date]])</f>
        <v>2023</v>
      </c>
    </row>
    <row r="302" spans="1:11" x14ac:dyDescent="0.3">
      <c r="A302" s="2">
        <v>45160.360655737699</v>
      </c>
      <c r="B302" t="s">
        <v>11</v>
      </c>
      <c r="C302" t="s">
        <v>20</v>
      </c>
      <c r="D302" t="s">
        <v>27</v>
      </c>
      <c r="E302">
        <v>149832</v>
      </c>
      <c r="F302">
        <v>80040</v>
      </c>
      <c r="G302">
        <v>75969</v>
      </c>
      <c r="H302" t="s">
        <v>28</v>
      </c>
      <c r="I302" t="s">
        <v>32</v>
      </c>
      <c r="J302" t="s">
        <v>36</v>
      </c>
      <c r="K302">
        <f>YEAR(financeData[[#This Row],[Date]])</f>
        <v>2023</v>
      </c>
    </row>
    <row r="303" spans="1:11" x14ac:dyDescent="0.3">
      <c r="A303" s="2">
        <v>45162.355191256829</v>
      </c>
      <c r="B303" t="s">
        <v>11</v>
      </c>
      <c r="C303" t="s">
        <v>16</v>
      </c>
      <c r="D303" t="s">
        <v>23</v>
      </c>
      <c r="E303">
        <v>91475</v>
      </c>
      <c r="F303">
        <v>63558</v>
      </c>
      <c r="G303">
        <v>38866</v>
      </c>
      <c r="H303" t="s">
        <v>28</v>
      </c>
      <c r="I303" t="s">
        <v>32</v>
      </c>
      <c r="J303" t="s">
        <v>35</v>
      </c>
      <c r="K303">
        <f>YEAR(financeData[[#This Row],[Date]])</f>
        <v>2023</v>
      </c>
    </row>
    <row r="304" spans="1:11" x14ac:dyDescent="0.3">
      <c r="A304" s="2">
        <v>45164.349726775952</v>
      </c>
      <c r="B304" t="s">
        <v>14</v>
      </c>
      <c r="C304" t="s">
        <v>18</v>
      </c>
      <c r="D304" t="s">
        <v>25</v>
      </c>
      <c r="E304">
        <v>66367</v>
      </c>
      <c r="F304">
        <v>88205</v>
      </c>
      <c r="G304">
        <v>110400</v>
      </c>
      <c r="H304" t="s">
        <v>30</v>
      </c>
      <c r="I304" t="s">
        <v>32</v>
      </c>
      <c r="J304" t="s">
        <v>35</v>
      </c>
      <c r="K304">
        <f>YEAR(financeData[[#This Row],[Date]])</f>
        <v>2023</v>
      </c>
    </row>
    <row r="305" spans="1:11" x14ac:dyDescent="0.3">
      <c r="A305" s="2">
        <v>45166.344262295082</v>
      </c>
      <c r="B305" t="s">
        <v>11</v>
      </c>
      <c r="C305" t="s">
        <v>16</v>
      </c>
      <c r="D305" t="s">
        <v>22</v>
      </c>
      <c r="E305">
        <v>148660</v>
      </c>
      <c r="F305">
        <v>8910</v>
      </c>
      <c r="G305">
        <v>89246</v>
      </c>
      <c r="H305" t="s">
        <v>29</v>
      </c>
      <c r="I305" t="s">
        <v>32</v>
      </c>
      <c r="J305" t="s">
        <v>35</v>
      </c>
      <c r="K305">
        <f>YEAR(financeData[[#This Row],[Date]])</f>
        <v>2023</v>
      </c>
    </row>
    <row r="306" spans="1:11" x14ac:dyDescent="0.3">
      <c r="A306" s="2">
        <v>45168.338797814198</v>
      </c>
      <c r="B306" t="s">
        <v>12</v>
      </c>
      <c r="C306" t="s">
        <v>19</v>
      </c>
      <c r="D306" t="s">
        <v>26</v>
      </c>
      <c r="E306">
        <v>126750</v>
      </c>
      <c r="F306">
        <v>59713</v>
      </c>
      <c r="G306">
        <v>81975</v>
      </c>
      <c r="H306" t="s">
        <v>31</v>
      </c>
      <c r="I306" t="s">
        <v>32</v>
      </c>
      <c r="J306" t="s">
        <v>36</v>
      </c>
      <c r="K306">
        <f>YEAR(financeData[[#This Row],[Date]])</f>
        <v>2023</v>
      </c>
    </row>
    <row r="307" spans="1:11" x14ac:dyDescent="0.3">
      <c r="A307" s="2">
        <v>45170.333333333343</v>
      </c>
      <c r="B307" t="s">
        <v>10</v>
      </c>
      <c r="C307" t="s">
        <v>18</v>
      </c>
      <c r="D307" t="s">
        <v>24</v>
      </c>
      <c r="E307">
        <v>123154</v>
      </c>
      <c r="F307">
        <v>48857</v>
      </c>
      <c r="G307">
        <v>46855</v>
      </c>
      <c r="H307" t="s">
        <v>28</v>
      </c>
      <c r="I307" t="s">
        <v>32</v>
      </c>
      <c r="J307" t="s">
        <v>35</v>
      </c>
      <c r="K307">
        <f>YEAR(financeData[[#This Row],[Date]])</f>
        <v>2023</v>
      </c>
    </row>
    <row r="308" spans="1:11" x14ac:dyDescent="0.3">
      <c r="A308" s="2">
        <v>45172.327868852452</v>
      </c>
      <c r="B308" t="s">
        <v>14</v>
      </c>
      <c r="C308" t="s">
        <v>16</v>
      </c>
      <c r="D308" t="s">
        <v>27</v>
      </c>
      <c r="E308">
        <v>49738</v>
      </c>
      <c r="F308">
        <v>36964</v>
      </c>
      <c r="G308">
        <v>86557</v>
      </c>
      <c r="H308" t="s">
        <v>29</v>
      </c>
      <c r="I308" t="s">
        <v>34</v>
      </c>
      <c r="J308" t="s">
        <v>35</v>
      </c>
      <c r="K308">
        <f>YEAR(financeData[[#This Row],[Date]])</f>
        <v>2023</v>
      </c>
    </row>
    <row r="309" spans="1:11" x14ac:dyDescent="0.3">
      <c r="A309" s="2">
        <v>45174.322404371567</v>
      </c>
      <c r="B309" t="s">
        <v>10</v>
      </c>
      <c r="C309" t="s">
        <v>17</v>
      </c>
      <c r="D309" t="s">
        <v>24</v>
      </c>
      <c r="E309">
        <v>38397</v>
      </c>
      <c r="F309">
        <v>87667</v>
      </c>
      <c r="G309">
        <v>11416</v>
      </c>
      <c r="H309" t="s">
        <v>29</v>
      </c>
      <c r="I309" t="s">
        <v>33</v>
      </c>
      <c r="J309" t="s">
        <v>36</v>
      </c>
      <c r="K309">
        <f>YEAR(financeData[[#This Row],[Date]])</f>
        <v>2023</v>
      </c>
    </row>
    <row r="310" spans="1:11" x14ac:dyDescent="0.3">
      <c r="A310" s="2">
        <v>45176.316939890698</v>
      </c>
      <c r="B310" t="s">
        <v>11</v>
      </c>
      <c r="C310" t="s">
        <v>15</v>
      </c>
      <c r="D310" t="s">
        <v>22</v>
      </c>
      <c r="E310">
        <v>87189</v>
      </c>
      <c r="F310">
        <v>27227</v>
      </c>
      <c r="G310">
        <v>77516</v>
      </c>
      <c r="H310" t="s">
        <v>28</v>
      </c>
      <c r="I310" t="s">
        <v>32</v>
      </c>
      <c r="J310" t="s">
        <v>36</v>
      </c>
      <c r="K310">
        <f>YEAR(financeData[[#This Row],[Date]])</f>
        <v>2023</v>
      </c>
    </row>
    <row r="311" spans="1:11" x14ac:dyDescent="0.3">
      <c r="A311" s="2">
        <v>45178.311475409828</v>
      </c>
      <c r="B311" t="s">
        <v>11</v>
      </c>
      <c r="C311" t="s">
        <v>19</v>
      </c>
      <c r="D311" t="s">
        <v>24</v>
      </c>
      <c r="E311">
        <v>81367</v>
      </c>
      <c r="F311">
        <v>7978</v>
      </c>
      <c r="G311">
        <v>60915</v>
      </c>
      <c r="H311" t="s">
        <v>31</v>
      </c>
      <c r="I311" t="s">
        <v>33</v>
      </c>
      <c r="J311" t="s">
        <v>35</v>
      </c>
      <c r="K311">
        <f>YEAR(financeData[[#This Row],[Date]])</f>
        <v>2023</v>
      </c>
    </row>
    <row r="312" spans="1:11" x14ac:dyDescent="0.3">
      <c r="A312" s="2">
        <v>45180.306010928958</v>
      </c>
      <c r="B312" t="s">
        <v>14</v>
      </c>
      <c r="C312" t="s">
        <v>16</v>
      </c>
      <c r="D312" t="s">
        <v>27</v>
      </c>
      <c r="E312">
        <v>125585</v>
      </c>
      <c r="F312">
        <v>89527</v>
      </c>
      <c r="G312">
        <v>23058</v>
      </c>
      <c r="H312" t="s">
        <v>30</v>
      </c>
      <c r="I312" t="s">
        <v>32</v>
      </c>
      <c r="J312" t="s">
        <v>35</v>
      </c>
      <c r="K312">
        <f>YEAR(financeData[[#This Row],[Date]])</f>
        <v>2023</v>
      </c>
    </row>
    <row r="313" spans="1:11" x14ac:dyDescent="0.3">
      <c r="A313" s="2">
        <v>45182.300546448081</v>
      </c>
      <c r="B313" t="s">
        <v>12</v>
      </c>
      <c r="C313" t="s">
        <v>19</v>
      </c>
      <c r="D313" t="s">
        <v>22</v>
      </c>
      <c r="E313">
        <v>81619</v>
      </c>
      <c r="F313">
        <v>19153</v>
      </c>
      <c r="G313">
        <v>81637</v>
      </c>
      <c r="H313" t="s">
        <v>29</v>
      </c>
      <c r="I313" t="s">
        <v>32</v>
      </c>
      <c r="J313" t="s">
        <v>36</v>
      </c>
      <c r="K313">
        <f>YEAR(financeData[[#This Row],[Date]])</f>
        <v>2023</v>
      </c>
    </row>
    <row r="314" spans="1:11" x14ac:dyDescent="0.3">
      <c r="A314" s="2">
        <v>45184.295081967211</v>
      </c>
      <c r="B314" t="s">
        <v>13</v>
      </c>
      <c r="C314" t="s">
        <v>21</v>
      </c>
      <c r="D314" t="s">
        <v>24</v>
      </c>
      <c r="E314">
        <v>116453</v>
      </c>
      <c r="F314">
        <v>61765</v>
      </c>
      <c r="G314">
        <v>45718</v>
      </c>
      <c r="H314" t="s">
        <v>30</v>
      </c>
      <c r="I314" t="s">
        <v>34</v>
      </c>
      <c r="J314" t="s">
        <v>36</v>
      </c>
      <c r="K314">
        <f>YEAR(financeData[[#This Row],[Date]])</f>
        <v>2023</v>
      </c>
    </row>
    <row r="315" spans="1:11" x14ac:dyDescent="0.3">
      <c r="A315" s="2">
        <v>45186.289617486327</v>
      </c>
      <c r="B315" t="s">
        <v>14</v>
      </c>
      <c r="C315" t="s">
        <v>19</v>
      </c>
      <c r="D315" t="s">
        <v>26</v>
      </c>
      <c r="E315">
        <v>24816</v>
      </c>
      <c r="F315">
        <v>41071</v>
      </c>
      <c r="G315">
        <v>37602</v>
      </c>
      <c r="H315" t="s">
        <v>31</v>
      </c>
      <c r="I315" t="s">
        <v>34</v>
      </c>
      <c r="J315" t="s">
        <v>36</v>
      </c>
      <c r="K315">
        <f>YEAR(financeData[[#This Row],[Date]])</f>
        <v>2023</v>
      </c>
    </row>
    <row r="316" spans="1:11" x14ac:dyDescent="0.3">
      <c r="A316" s="2">
        <v>45188.284153005457</v>
      </c>
      <c r="B316" t="s">
        <v>13</v>
      </c>
      <c r="C316" t="s">
        <v>18</v>
      </c>
      <c r="D316" t="s">
        <v>23</v>
      </c>
      <c r="E316">
        <v>142348</v>
      </c>
      <c r="F316">
        <v>71519</v>
      </c>
      <c r="G316">
        <v>79658</v>
      </c>
      <c r="H316" t="s">
        <v>31</v>
      </c>
      <c r="I316" t="s">
        <v>33</v>
      </c>
      <c r="J316" t="s">
        <v>36</v>
      </c>
      <c r="K316">
        <f>YEAR(financeData[[#This Row],[Date]])</f>
        <v>2023</v>
      </c>
    </row>
    <row r="317" spans="1:11" x14ac:dyDescent="0.3">
      <c r="A317" s="2">
        <v>45190.278688524581</v>
      </c>
      <c r="B317" t="s">
        <v>13</v>
      </c>
      <c r="C317" t="s">
        <v>21</v>
      </c>
      <c r="D317" t="s">
        <v>22</v>
      </c>
      <c r="E317">
        <v>84530</v>
      </c>
      <c r="F317">
        <v>11503</v>
      </c>
      <c r="G317">
        <v>83112</v>
      </c>
      <c r="H317" t="s">
        <v>30</v>
      </c>
      <c r="I317" t="s">
        <v>34</v>
      </c>
      <c r="J317" t="s">
        <v>36</v>
      </c>
      <c r="K317">
        <f>YEAR(financeData[[#This Row],[Date]])</f>
        <v>2023</v>
      </c>
    </row>
    <row r="318" spans="1:11" x14ac:dyDescent="0.3">
      <c r="A318" s="2">
        <v>45192.273224043718</v>
      </c>
      <c r="B318" t="s">
        <v>12</v>
      </c>
      <c r="C318" t="s">
        <v>18</v>
      </c>
      <c r="D318" t="s">
        <v>23</v>
      </c>
      <c r="E318">
        <v>113856</v>
      </c>
      <c r="F318">
        <v>62703</v>
      </c>
      <c r="G318">
        <v>63067</v>
      </c>
      <c r="H318" t="s">
        <v>31</v>
      </c>
      <c r="I318" t="s">
        <v>34</v>
      </c>
      <c r="J318" t="s">
        <v>36</v>
      </c>
      <c r="K318">
        <f>YEAR(financeData[[#This Row],[Date]])</f>
        <v>2023</v>
      </c>
    </row>
    <row r="319" spans="1:11" x14ac:dyDescent="0.3">
      <c r="A319" s="2">
        <v>45194.267759562827</v>
      </c>
      <c r="B319" t="s">
        <v>13</v>
      </c>
      <c r="C319" t="s">
        <v>15</v>
      </c>
      <c r="D319" t="s">
        <v>22</v>
      </c>
      <c r="E319">
        <v>76635</v>
      </c>
      <c r="F319">
        <v>66379</v>
      </c>
      <c r="G319">
        <v>32516</v>
      </c>
      <c r="H319" t="s">
        <v>29</v>
      </c>
      <c r="I319" t="s">
        <v>33</v>
      </c>
      <c r="J319" t="s">
        <v>36</v>
      </c>
      <c r="K319">
        <f>YEAR(financeData[[#This Row],[Date]])</f>
        <v>2023</v>
      </c>
    </row>
    <row r="320" spans="1:11" x14ac:dyDescent="0.3">
      <c r="A320" s="2">
        <v>45196.262295081957</v>
      </c>
      <c r="B320" t="s">
        <v>13</v>
      </c>
      <c r="C320" t="s">
        <v>21</v>
      </c>
      <c r="D320" t="s">
        <v>26</v>
      </c>
      <c r="E320">
        <v>112803</v>
      </c>
      <c r="F320">
        <v>97457</v>
      </c>
      <c r="G320">
        <v>92969</v>
      </c>
      <c r="H320" t="s">
        <v>30</v>
      </c>
      <c r="I320" t="s">
        <v>34</v>
      </c>
      <c r="J320" t="s">
        <v>35</v>
      </c>
      <c r="K320">
        <f>YEAR(financeData[[#This Row],[Date]])</f>
        <v>2023</v>
      </c>
    </row>
    <row r="321" spans="1:11" x14ac:dyDescent="0.3">
      <c r="A321" s="2">
        <v>45198.256830601087</v>
      </c>
      <c r="B321" t="s">
        <v>12</v>
      </c>
      <c r="C321" t="s">
        <v>17</v>
      </c>
      <c r="D321" t="s">
        <v>23</v>
      </c>
      <c r="E321">
        <v>40946</v>
      </c>
      <c r="F321">
        <v>59866</v>
      </c>
      <c r="G321">
        <v>6089</v>
      </c>
      <c r="H321" t="s">
        <v>31</v>
      </c>
      <c r="I321" t="s">
        <v>32</v>
      </c>
      <c r="J321" t="s">
        <v>36</v>
      </c>
      <c r="K321">
        <f>YEAR(financeData[[#This Row],[Date]])</f>
        <v>2023</v>
      </c>
    </row>
    <row r="322" spans="1:11" x14ac:dyDescent="0.3">
      <c r="A322" s="2">
        <v>45200.25136612021</v>
      </c>
      <c r="B322" t="s">
        <v>13</v>
      </c>
      <c r="C322" t="s">
        <v>19</v>
      </c>
      <c r="D322" t="s">
        <v>25</v>
      </c>
      <c r="E322">
        <v>60204</v>
      </c>
      <c r="F322">
        <v>18905</v>
      </c>
      <c r="G322">
        <v>42346</v>
      </c>
      <c r="H322" t="s">
        <v>30</v>
      </c>
      <c r="I322" t="s">
        <v>33</v>
      </c>
      <c r="J322" t="s">
        <v>36</v>
      </c>
      <c r="K322">
        <f>YEAR(financeData[[#This Row],[Date]])</f>
        <v>2023</v>
      </c>
    </row>
    <row r="323" spans="1:11" x14ac:dyDescent="0.3">
      <c r="A323" s="2">
        <v>45202.24590163934</v>
      </c>
      <c r="B323" t="s">
        <v>13</v>
      </c>
      <c r="C323" t="s">
        <v>16</v>
      </c>
      <c r="D323" t="s">
        <v>27</v>
      </c>
      <c r="E323">
        <v>20563</v>
      </c>
      <c r="F323">
        <v>47838</v>
      </c>
      <c r="G323">
        <v>79663</v>
      </c>
      <c r="H323" t="s">
        <v>29</v>
      </c>
      <c r="I323" t="s">
        <v>33</v>
      </c>
      <c r="J323" t="s">
        <v>35</v>
      </c>
      <c r="K323">
        <f>YEAR(financeData[[#This Row],[Date]])</f>
        <v>2023</v>
      </c>
    </row>
    <row r="324" spans="1:11" x14ac:dyDescent="0.3">
      <c r="A324" s="2">
        <v>45204.240437158463</v>
      </c>
      <c r="B324" t="s">
        <v>13</v>
      </c>
      <c r="C324" t="s">
        <v>20</v>
      </c>
      <c r="D324" t="s">
        <v>25</v>
      </c>
      <c r="E324">
        <v>97324</v>
      </c>
      <c r="F324">
        <v>60279</v>
      </c>
      <c r="G324">
        <v>15487</v>
      </c>
      <c r="H324" t="s">
        <v>31</v>
      </c>
      <c r="I324" t="s">
        <v>32</v>
      </c>
      <c r="J324" t="s">
        <v>36</v>
      </c>
      <c r="K324">
        <f>YEAR(financeData[[#This Row],[Date]])</f>
        <v>2023</v>
      </c>
    </row>
    <row r="325" spans="1:11" x14ac:dyDescent="0.3">
      <c r="A325" s="2">
        <v>45206.234972677586</v>
      </c>
      <c r="B325" t="s">
        <v>14</v>
      </c>
      <c r="C325" t="s">
        <v>19</v>
      </c>
      <c r="D325" t="s">
        <v>24</v>
      </c>
      <c r="E325">
        <v>14847</v>
      </c>
      <c r="F325">
        <v>91489</v>
      </c>
      <c r="G325">
        <v>5155</v>
      </c>
      <c r="H325" t="s">
        <v>29</v>
      </c>
      <c r="I325" t="s">
        <v>34</v>
      </c>
      <c r="J325" t="s">
        <v>36</v>
      </c>
      <c r="K325">
        <f>YEAR(financeData[[#This Row],[Date]])</f>
        <v>2023</v>
      </c>
    </row>
    <row r="326" spans="1:11" x14ac:dyDescent="0.3">
      <c r="A326" s="2">
        <v>45208.22950819671</v>
      </c>
      <c r="B326" t="s">
        <v>14</v>
      </c>
      <c r="C326" t="s">
        <v>19</v>
      </c>
      <c r="D326" t="s">
        <v>26</v>
      </c>
      <c r="E326">
        <v>31155</v>
      </c>
      <c r="F326">
        <v>28806</v>
      </c>
      <c r="G326">
        <v>72494</v>
      </c>
      <c r="H326" t="s">
        <v>31</v>
      </c>
      <c r="I326" t="s">
        <v>33</v>
      </c>
      <c r="J326" t="s">
        <v>35</v>
      </c>
      <c r="K326">
        <f>YEAR(financeData[[#This Row],[Date]])</f>
        <v>2023</v>
      </c>
    </row>
    <row r="327" spans="1:11" x14ac:dyDescent="0.3">
      <c r="A327" s="2">
        <v>45210.224043715847</v>
      </c>
      <c r="B327" t="s">
        <v>14</v>
      </c>
      <c r="C327" t="s">
        <v>15</v>
      </c>
      <c r="D327" t="s">
        <v>25</v>
      </c>
      <c r="E327">
        <v>84671</v>
      </c>
      <c r="F327">
        <v>47000</v>
      </c>
      <c r="G327">
        <v>81229</v>
      </c>
      <c r="H327" t="s">
        <v>28</v>
      </c>
      <c r="I327" t="s">
        <v>33</v>
      </c>
      <c r="J327" t="s">
        <v>36</v>
      </c>
      <c r="K327">
        <f>YEAR(financeData[[#This Row],[Date]])</f>
        <v>2023</v>
      </c>
    </row>
    <row r="328" spans="1:11" x14ac:dyDescent="0.3">
      <c r="A328" s="2">
        <v>45212.218579234963</v>
      </c>
      <c r="B328" t="s">
        <v>12</v>
      </c>
      <c r="C328" t="s">
        <v>17</v>
      </c>
      <c r="D328" t="s">
        <v>22</v>
      </c>
      <c r="E328">
        <v>121891</v>
      </c>
      <c r="F328">
        <v>24168</v>
      </c>
      <c r="G328">
        <v>109648</v>
      </c>
      <c r="H328" t="s">
        <v>31</v>
      </c>
      <c r="I328" t="s">
        <v>32</v>
      </c>
      <c r="J328" t="s">
        <v>35</v>
      </c>
      <c r="K328">
        <f>YEAR(financeData[[#This Row],[Date]])</f>
        <v>2023</v>
      </c>
    </row>
    <row r="329" spans="1:11" x14ac:dyDescent="0.3">
      <c r="A329" s="2">
        <v>45214.2131147541</v>
      </c>
      <c r="B329" t="s">
        <v>11</v>
      </c>
      <c r="C329" t="s">
        <v>20</v>
      </c>
      <c r="D329" t="s">
        <v>24</v>
      </c>
      <c r="E329">
        <v>88310</v>
      </c>
      <c r="F329">
        <v>72119</v>
      </c>
      <c r="G329">
        <v>43547</v>
      </c>
      <c r="H329" t="s">
        <v>30</v>
      </c>
      <c r="I329" t="s">
        <v>32</v>
      </c>
      <c r="J329" t="s">
        <v>35</v>
      </c>
      <c r="K329">
        <f>YEAR(financeData[[#This Row],[Date]])</f>
        <v>2023</v>
      </c>
    </row>
    <row r="330" spans="1:11" x14ac:dyDescent="0.3">
      <c r="A330" s="2">
        <v>45216.207650273223</v>
      </c>
      <c r="B330" t="s">
        <v>13</v>
      </c>
      <c r="C330" t="s">
        <v>21</v>
      </c>
      <c r="D330" t="s">
        <v>24</v>
      </c>
      <c r="E330">
        <v>136691</v>
      </c>
      <c r="F330">
        <v>40714</v>
      </c>
      <c r="G330">
        <v>33795</v>
      </c>
      <c r="H330" t="s">
        <v>31</v>
      </c>
      <c r="I330" t="s">
        <v>34</v>
      </c>
      <c r="J330" t="s">
        <v>35</v>
      </c>
      <c r="K330">
        <f>YEAR(financeData[[#This Row],[Date]])</f>
        <v>2023</v>
      </c>
    </row>
    <row r="331" spans="1:11" x14ac:dyDescent="0.3">
      <c r="A331" s="2">
        <v>45218.202185792346</v>
      </c>
      <c r="B331" t="s">
        <v>13</v>
      </c>
      <c r="C331" t="s">
        <v>21</v>
      </c>
      <c r="D331" t="s">
        <v>25</v>
      </c>
      <c r="E331">
        <v>39707</v>
      </c>
      <c r="F331">
        <v>56093</v>
      </c>
      <c r="G331">
        <v>60296</v>
      </c>
      <c r="H331" t="s">
        <v>29</v>
      </c>
      <c r="I331" t="s">
        <v>33</v>
      </c>
      <c r="J331" t="s">
        <v>35</v>
      </c>
      <c r="K331">
        <f>YEAR(financeData[[#This Row],[Date]])</f>
        <v>2023</v>
      </c>
    </row>
    <row r="332" spans="1:11" x14ac:dyDescent="0.3">
      <c r="A332" s="2">
        <v>45220.196721311469</v>
      </c>
      <c r="B332" t="s">
        <v>12</v>
      </c>
      <c r="C332" t="s">
        <v>21</v>
      </c>
      <c r="D332" t="s">
        <v>25</v>
      </c>
      <c r="E332">
        <v>86537</v>
      </c>
      <c r="F332">
        <v>57419</v>
      </c>
      <c r="G332">
        <v>26447</v>
      </c>
      <c r="H332" t="s">
        <v>29</v>
      </c>
      <c r="I332" t="s">
        <v>34</v>
      </c>
      <c r="J332" t="s">
        <v>36</v>
      </c>
      <c r="K332">
        <f>YEAR(financeData[[#This Row],[Date]])</f>
        <v>2023</v>
      </c>
    </row>
    <row r="333" spans="1:11" x14ac:dyDescent="0.3">
      <c r="A333" s="2">
        <v>45222.191256830592</v>
      </c>
      <c r="B333" t="s">
        <v>13</v>
      </c>
      <c r="C333" t="s">
        <v>18</v>
      </c>
      <c r="D333" t="s">
        <v>26</v>
      </c>
      <c r="E333">
        <v>96155</v>
      </c>
      <c r="F333">
        <v>51145</v>
      </c>
      <c r="G333">
        <v>41598</v>
      </c>
      <c r="H333" t="s">
        <v>31</v>
      </c>
      <c r="I333" t="s">
        <v>34</v>
      </c>
      <c r="J333" t="s">
        <v>35</v>
      </c>
      <c r="K333">
        <f>YEAR(financeData[[#This Row],[Date]])</f>
        <v>2023</v>
      </c>
    </row>
    <row r="334" spans="1:11" x14ac:dyDescent="0.3">
      <c r="A334" s="2">
        <v>45224.185792349723</v>
      </c>
      <c r="B334" t="s">
        <v>14</v>
      </c>
      <c r="C334" t="s">
        <v>18</v>
      </c>
      <c r="D334" t="s">
        <v>27</v>
      </c>
      <c r="E334">
        <v>5281</v>
      </c>
      <c r="F334">
        <v>79425</v>
      </c>
      <c r="G334">
        <v>46814</v>
      </c>
      <c r="H334" t="s">
        <v>30</v>
      </c>
      <c r="I334" t="s">
        <v>32</v>
      </c>
      <c r="J334" t="s">
        <v>35</v>
      </c>
      <c r="K334">
        <f>YEAR(financeData[[#This Row],[Date]])</f>
        <v>2023</v>
      </c>
    </row>
    <row r="335" spans="1:11" x14ac:dyDescent="0.3">
      <c r="A335" s="2">
        <v>45226.180327868853</v>
      </c>
      <c r="B335" t="s">
        <v>11</v>
      </c>
      <c r="C335" t="s">
        <v>16</v>
      </c>
      <c r="D335" t="s">
        <v>25</v>
      </c>
      <c r="E335">
        <v>137130</v>
      </c>
      <c r="F335">
        <v>94949</v>
      </c>
      <c r="G335">
        <v>95751</v>
      </c>
      <c r="H335" t="s">
        <v>28</v>
      </c>
      <c r="I335" t="s">
        <v>33</v>
      </c>
      <c r="J335" t="s">
        <v>36</v>
      </c>
      <c r="K335">
        <f>YEAR(financeData[[#This Row],[Date]])</f>
        <v>2023</v>
      </c>
    </row>
    <row r="336" spans="1:11" x14ac:dyDescent="0.3">
      <c r="A336" s="2">
        <v>45228.174863387983</v>
      </c>
      <c r="B336" t="s">
        <v>10</v>
      </c>
      <c r="C336" t="s">
        <v>20</v>
      </c>
      <c r="D336" t="s">
        <v>25</v>
      </c>
      <c r="E336">
        <v>81260</v>
      </c>
      <c r="F336">
        <v>79811</v>
      </c>
      <c r="G336">
        <v>80330</v>
      </c>
      <c r="H336" t="s">
        <v>30</v>
      </c>
      <c r="I336" t="s">
        <v>33</v>
      </c>
      <c r="J336" t="s">
        <v>35</v>
      </c>
      <c r="K336">
        <f>YEAR(financeData[[#This Row],[Date]])</f>
        <v>2023</v>
      </c>
    </row>
    <row r="337" spans="1:11" x14ac:dyDescent="0.3">
      <c r="A337" s="2">
        <v>45230.169398907092</v>
      </c>
      <c r="B337" t="s">
        <v>13</v>
      </c>
      <c r="C337" t="s">
        <v>21</v>
      </c>
      <c r="D337" t="s">
        <v>23</v>
      </c>
      <c r="E337">
        <v>145272</v>
      </c>
      <c r="F337">
        <v>4461</v>
      </c>
      <c r="G337">
        <v>103745</v>
      </c>
      <c r="H337" t="s">
        <v>28</v>
      </c>
      <c r="I337" t="s">
        <v>33</v>
      </c>
      <c r="J337" t="s">
        <v>35</v>
      </c>
      <c r="K337">
        <f>YEAR(financeData[[#This Row],[Date]])</f>
        <v>2023</v>
      </c>
    </row>
    <row r="338" spans="1:11" x14ac:dyDescent="0.3">
      <c r="A338" s="2">
        <v>45232.163934426229</v>
      </c>
      <c r="B338" t="s">
        <v>14</v>
      </c>
      <c r="C338" t="s">
        <v>18</v>
      </c>
      <c r="D338" t="s">
        <v>22</v>
      </c>
      <c r="E338">
        <v>69178</v>
      </c>
      <c r="F338">
        <v>16291</v>
      </c>
      <c r="G338">
        <v>92960</v>
      </c>
      <c r="H338" t="s">
        <v>29</v>
      </c>
      <c r="I338" t="s">
        <v>32</v>
      </c>
      <c r="J338" t="s">
        <v>35</v>
      </c>
      <c r="K338">
        <f>YEAR(financeData[[#This Row],[Date]])</f>
        <v>2023</v>
      </c>
    </row>
    <row r="339" spans="1:11" x14ac:dyDescent="0.3">
      <c r="A339" s="2">
        <v>45234.158469945352</v>
      </c>
      <c r="B339" t="s">
        <v>10</v>
      </c>
      <c r="C339" t="s">
        <v>16</v>
      </c>
      <c r="D339" t="s">
        <v>23</v>
      </c>
      <c r="E339">
        <v>38997</v>
      </c>
      <c r="F339">
        <v>48804</v>
      </c>
      <c r="G339">
        <v>68278</v>
      </c>
      <c r="H339" t="s">
        <v>30</v>
      </c>
      <c r="I339" t="s">
        <v>32</v>
      </c>
      <c r="J339" t="s">
        <v>35</v>
      </c>
      <c r="K339">
        <f>YEAR(financeData[[#This Row],[Date]])</f>
        <v>2023</v>
      </c>
    </row>
    <row r="340" spans="1:11" x14ac:dyDescent="0.3">
      <c r="A340" s="2">
        <v>45236.153005464483</v>
      </c>
      <c r="B340" t="s">
        <v>11</v>
      </c>
      <c r="C340" t="s">
        <v>17</v>
      </c>
      <c r="D340" t="s">
        <v>23</v>
      </c>
      <c r="E340">
        <v>124273</v>
      </c>
      <c r="F340">
        <v>78971</v>
      </c>
      <c r="G340">
        <v>60077</v>
      </c>
      <c r="H340" t="s">
        <v>28</v>
      </c>
      <c r="I340" t="s">
        <v>32</v>
      </c>
      <c r="J340" t="s">
        <v>36</v>
      </c>
      <c r="K340">
        <f>YEAR(financeData[[#This Row],[Date]])</f>
        <v>2023</v>
      </c>
    </row>
    <row r="341" spans="1:11" x14ac:dyDescent="0.3">
      <c r="A341" s="2">
        <v>45238.147540983598</v>
      </c>
      <c r="B341" t="s">
        <v>10</v>
      </c>
      <c r="C341" t="s">
        <v>16</v>
      </c>
      <c r="D341" t="s">
        <v>24</v>
      </c>
      <c r="E341">
        <v>137311</v>
      </c>
      <c r="F341">
        <v>95471</v>
      </c>
      <c r="G341">
        <v>117782</v>
      </c>
      <c r="H341" t="s">
        <v>31</v>
      </c>
      <c r="I341" t="s">
        <v>32</v>
      </c>
      <c r="J341" t="s">
        <v>35</v>
      </c>
      <c r="K341">
        <f>YEAR(financeData[[#This Row],[Date]])</f>
        <v>2023</v>
      </c>
    </row>
    <row r="342" spans="1:11" x14ac:dyDescent="0.3">
      <c r="A342" s="2">
        <v>45240.142076502729</v>
      </c>
      <c r="B342" t="s">
        <v>14</v>
      </c>
      <c r="C342" t="s">
        <v>18</v>
      </c>
      <c r="D342" t="s">
        <v>27</v>
      </c>
      <c r="E342">
        <v>131945</v>
      </c>
      <c r="F342">
        <v>66946</v>
      </c>
      <c r="G342">
        <v>107932</v>
      </c>
      <c r="H342" t="s">
        <v>29</v>
      </c>
      <c r="I342" t="s">
        <v>32</v>
      </c>
      <c r="J342" t="s">
        <v>36</v>
      </c>
      <c r="K342">
        <f>YEAR(financeData[[#This Row],[Date]])</f>
        <v>2023</v>
      </c>
    </row>
    <row r="343" spans="1:11" x14ac:dyDescent="0.3">
      <c r="A343" s="2">
        <v>45242.136612021852</v>
      </c>
      <c r="B343" t="s">
        <v>10</v>
      </c>
      <c r="C343" t="s">
        <v>15</v>
      </c>
      <c r="D343" t="s">
        <v>22</v>
      </c>
      <c r="E343">
        <v>50272</v>
      </c>
      <c r="F343">
        <v>86080</v>
      </c>
      <c r="G343">
        <v>76906</v>
      </c>
      <c r="H343" t="s">
        <v>31</v>
      </c>
      <c r="I343" t="s">
        <v>33</v>
      </c>
      <c r="J343" t="s">
        <v>36</v>
      </c>
      <c r="K343">
        <f>YEAR(financeData[[#This Row],[Date]])</f>
        <v>2023</v>
      </c>
    </row>
    <row r="344" spans="1:11" x14ac:dyDescent="0.3">
      <c r="A344" s="2">
        <v>45244.131147540968</v>
      </c>
      <c r="B344" t="s">
        <v>12</v>
      </c>
      <c r="C344" t="s">
        <v>15</v>
      </c>
      <c r="D344" t="s">
        <v>26</v>
      </c>
      <c r="E344">
        <v>94393</v>
      </c>
      <c r="F344">
        <v>63332</v>
      </c>
      <c r="G344">
        <v>14528</v>
      </c>
      <c r="H344" t="s">
        <v>29</v>
      </c>
      <c r="I344" t="s">
        <v>34</v>
      </c>
      <c r="J344" t="s">
        <v>35</v>
      </c>
      <c r="K344">
        <f>YEAR(financeData[[#This Row],[Date]])</f>
        <v>2023</v>
      </c>
    </row>
    <row r="345" spans="1:11" x14ac:dyDescent="0.3">
      <c r="A345" s="2">
        <v>45246.125683060112</v>
      </c>
      <c r="B345" t="s">
        <v>10</v>
      </c>
      <c r="C345" t="s">
        <v>21</v>
      </c>
      <c r="D345" t="s">
        <v>26</v>
      </c>
      <c r="E345">
        <v>66212</v>
      </c>
      <c r="F345">
        <v>79794</v>
      </c>
      <c r="G345">
        <v>98812</v>
      </c>
      <c r="H345" t="s">
        <v>30</v>
      </c>
      <c r="I345" t="s">
        <v>33</v>
      </c>
      <c r="J345" t="s">
        <v>35</v>
      </c>
      <c r="K345">
        <f>YEAR(financeData[[#This Row],[Date]])</f>
        <v>2023</v>
      </c>
    </row>
    <row r="346" spans="1:11" x14ac:dyDescent="0.3">
      <c r="A346" s="2">
        <v>45248.120218579228</v>
      </c>
      <c r="B346" t="s">
        <v>13</v>
      </c>
      <c r="C346" t="s">
        <v>15</v>
      </c>
      <c r="D346" t="s">
        <v>25</v>
      </c>
      <c r="E346">
        <v>125030</v>
      </c>
      <c r="F346">
        <v>32841</v>
      </c>
      <c r="G346">
        <v>55100</v>
      </c>
      <c r="H346" t="s">
        <v>30</v>
      </c>
      <c r="I346" t="s">
        <v>34</v>
      </c>
      <c r="J346" t="s">
        <v>35</v>
      </c>
      <c r="K346">
        <f>YEAR(financeData[[#This Row],[Date]])</f>
        <v>2023</v>
      </c>
    </row>
    <row r="347" spans="1:11" x14ac:dyDescent="0.3">
      <c r="A347" s="2">
        <v>45250.114754098358</v>
      </c>
      <c r="B347" t="s">
        <v>13</v>
      </c>
      <c r="C347" t="s">
        <v>21</v>
      </c>
      <c r="D347" t="s">
        <v>25</v>
      </c>
      <c r="E347">
        <v>61503</v>
      </c>
      <c r="F347">
        <v>50758</v>
      </c>
      <c r="G347">
        <v>114869</v>
      </c>
      <c r="H347" t="s">
        <v>29</v>
      </c>
      <c r="I347" t="s">
        <v>32</v>
      </c>
      <c r="J347" t="s">
        <v>35</v>
      </c>
      <c r="K347">
        <f>YEAR(financeData[[#This Row],[Date]])</f>
        <v>2023</v>
      </c>
    </row>
    <row r="348" spans="1:11" x14ac:dyDescent="0.3">
      <c r="A348" s="2">
        <v>45252.109289617467</v>
      </c>
      <c r="B348" t="s">
        <v>12</v>
      </c>
      <c r="C348" t="s">
        <v>21</v>
      </c>
      <c r="D348" t="s">
        <v>26</v>
      </c>
      <c r="E348">
        <v>142710</v>
      </c>
      <c r="F348">
        <v>78272</v>
      </c>
      <c r="G348">
        <v>13179</v>
      </c>
      <c r="H348" t="s">
        <v>29</v>
      </c>
      <c r="I348" t="s">
        <v>34</v>
      </c>
      <c r="J348" t="s">
        <v>36</v>
      </c>
      <c r="K348">
        <f>YEAR(financeData[[#This Row],[Date]])</f>
        <v>2023</v>
      </c>
    </row>
    <row r="349" spans="1:11" x14ac:dyDescent="0.3">
      <c r="A349" s="2">
        <v>45254.103825136612</v>
      </c>
      <c r="B349" t="s">
        <v>14</v>
      </c>
      <c r="C349" t="s">
        <v>18</v>
      </c>
      <c r="D349" t="s">
        <v>25</v>
      </c>
      <c r="E349">
        <v>11570</v>
      </c>
      <c r="F349">
        <v>39643</v>
      </c>
      <c r="G349">
        <v>53781</v>
      </c>
      <c r="H349" t="s">
        <v>29</v>
      </c>
      <c r="I349" t="s">
        <v>33</v>
      </c>
      <c r="J349" t="s">
        <v>36</v>
      </c>
      <c r="K349">
        <f>YEAR(financeData[[#This Row],[Date]])</f>
        <v>2023</v>
      </c>
    </row>
    <row r="350" spans="1:11" x14ac:dyDescent="0.3">
      <c r="A350" s="2">
        <v>45256.098360655727</v>
      </c>
      <c r="B350" t="s">
        <v>13</v>
      </c>
      <c r="C350" t="s">
        <v>15</v>
      </c>
      <c r="D350" t="s">
        <v>27</v>
      </c>
      <c r="E350">
        <v>73785</v>
      </c>
      <c r="F350">
        <v>52408</v>
      </c>
      <c r="G350">
        <v>60267</v>
      </c>
      <c r="H350" t="s">
        <v>30</v>
      </c>
      <c r="I350" t="s">
        <v>33</v>
      </c>
      <c r="J350" t="s">
        <v>36</v>
      </c>
      <c r="K350">
        <f>YEAR(financeData[[#This Row],[Date]])</f>
        <v>2023</v>
      </c>
    </row>
    <row r="351" spans="1:11" x14ac:dyDescent="0.3">
      <c r="A351" s="2">
        <v>45258.092896174858</v>
      </c>
      <c r="B351" t="s">
        <v>11</v>
      </c>
      <c r="C351" t="s">
        <v>21</v>
      </c>
      <c r="D351" t="s">
        <v>23</v>
      </c>
      <c r="E351">
        <v>14110</v>
      </c>
      <c r="F351">
        <v>45950</v>
      </c>
      <c r="G351">
        <v>87379</v>
      </c>
      <c r="H351" t="s">
        <v>28</v>
      </c>
      <c r="I351" t="s">
        <v>34</v>
      </c>
      <c r="J351" t="s">
        <v>35</v>
      </c>
      <c r="K351">
        <f>YEAR(financeData[[#This Row],[Date]])</f>
        <v>2023</v>
      </c>
    </row>
    <row r="352" spans="1:11" x14ac:dyDescent="0.3">
      <c r="A352" s="2">
        <v>45260.087431693981</v>
      </c>
      <c r="B352" t="s">
        <v>13</v>
      </c>
      <c r="C352" t="s">
        <v>20</v>
      </c>
      <c r="D352" t="s">
        <v>25</v>
      </c>
      <c r="E352">
        <v>84141</v>
      </c>
      <c r="F352">
        <v>58849</v>
      </c>
      <c r="G352">
        <v>28952</v>
      </c>
      <c r="H352" t="s">
        <v>31</v>
      </c>
      <c r="I352" t="s">
        <v>32</v>
      </c>
      <c r="J352" t="s">
        <v>36</v>
      </c>
      <c r="K352">
        <f>YEAR(financeData[[#This Row],[Date]])</f>
        <v>2023</v>
      </c>
    </row>
    <row r="353" spans="1:11" x14ac:dyDescent="0.3">
      <c r="A353" s="2">
        <v>45262.081967213111</v>
      </c>
      <c r="B353" t="s">
        <v>13</v>
      </c>
      <c r="C353" t="s">
        <v>17</v>
      </c>
      <c r="D353" t="s">
        <v>24</v>
      </c>
      <c r="E353">
        <v>17115</v>
      </c>
      <c r="F353">
        <v>30044</v>
      </c>
      <c r="G353">
        <v>58798</v>
      </c>
      <c r="H353" t="s">
        <v>31</v>
      </c>
      <c r="I353" t="s">
        <v>32</v>
      </c>
      <c r="J353" t="s">
        <v>35</v>
      </c>
      <c r="K353">
        <f>YEAR(financeData[[#This Row],[Date]])</f>
        <v>2023</v>
      </c>
    </row>
    <row r="354" spans="1:11" x14ac:dyDescent="0.3">
      <c r="A354" s="2">
        <v>45264.076502732227</v>
      </c>
      <c r="B354" t="s">
        <v>14</v>
      </c>
      <c r="C354" t="s">
        <v>16</v>
      </c>
      <c r="D354" t="s">
        <v>25</v>
      </c>
      <c r="E354">
        <v>44062</v>
      </c>
      <c r="F354">
        <v>17997</v>
      </c>
      <c r="G354">
        <v>103696</v>
      </c>
      <c r="H354" t="s">
        <v>30</v>
      </c>
      <c r="I354" t="s">
        <v>33</v>
      </c>
      <c r="J354" t="s">
        <v>35</v>
      </c>
      <c r="K354">
        <f>YEAR(financeData[[#This Row],[Date]])</f>
        <v>2023</v>
      </c>
    </row>
    <row r="355" spans="1:11" x14ac:dyDescent="0.3">
      <c r="A355" s="2">
        <v>45266.071038251357</v>
      </c>
      <c r="B355" t="s">
        <v>10</v>
      </c>
      <c r="C355" t="s">
        <v>16</v>
      </c>
      <c r="D355" t="s">
        <v>22</v>
      </c>
      <c r="E355">
        <v>27911</v>
      </c>
      <c r="F355">
        <v>81751</v>
      </c>
      <c r="G355">
        <v>115434</v>
      </c>
      <c r="H355" t="s">
        <v>31</v>
      </c>
      <c r="I355" t="s">
        <v>34</v>
      </c>
      <c r="J355" t="s">
        <v>35</v>
      </c>
      <c r="K355">
        <f>YEAR(financeData[[#This Row],[Date]])</f>
        <v>2023</v>
      </c>
    </row>
    <row r="356" spans="1:11" x14ac:dyDescent="0.3">
      <c r="A356" s="2">
        <v>45268.065573770487</v>
      </c>
      <c r="B356" t="s">
        <v>13</v>
      </c>
      <c r="C356" t="s">
        <v>18</v>
      </c>
      <c r="D356" t="s">
        <v>27</v>
      </c>
      <c r="E356">
        <v>109061</v>
      </c>
      <c r="F356">
        <v>25911</v>
      </c>
      <c r="G356">
        <v>55939</v>
      </c>
      <c r="H356" t="s">
        <v>29</v>
      </c>
      <c r="I356" t="s">
        <v>32</v>
      </c>
      <c r="J356" t="s">
        <v>35</v>
      </c>
      <c r="K356">
        <f>YEAR(financeData[[#This Row],[Date]])</f>
        <v>2023</v>
      </c>
    </row>
    <row r="357" spans="1:11" x14ac:dyDescent="0.3">
      <c r="A357" s="2">
        <v>45270.060109289603</v>
      </c>
      <c r="B357" t="s">
        <v>12</v>
      </c>
      <c r="C357" t="s">
        <v>15</v>
      </c>
      <c r="D357" t="s">
        <v>22</v>
      </c>
      <c r="E357">
        <v>37556</v>
      </c>
      <c r="F357">
        <v>57533</v>
      </c>
      <c r="G357">
        <v>34516</v>
      </c>
      <c r="H357" t="s">
        <v>28</v>
      </c>
      <c r="I357" t="s">
        <v>32</v>
      </c>
      <c r="J357" t="s">
        <v>35</v>
      </c>
      <c r="K357">
        <f>YEAR(financeData[[#This Row],[Date]])</f>
        <v>2023</v>
      </c>
    </row>
    <row r="358" spans="1:11" x14ac:dyDescent="0.3">
      <c r="A358" s="2">
        <v>45272.054644808741</v>
      </c>
      <c r="B358" t="s">
        <v>10</v>
      </c>
      <c r="C358" t="s">
        <v>15</v>
      </c>
      <c r="D358" t="s">
        <v>22</v>
      </c>
      <c r="E358">
        <v>133335</v>
      </c>
      <c r="F358">
        <v>84566</v>
      </c>
      <c r="G358">
        <v>61526</v>
      </c>
      <c r="H358" t="s">
        <v>31</v>
      </c>
      <c r="I358" t="s">
        <v>33</v>
      </c>
      <c r="J358" t="s">
        <v>36</v>
      </c>
      <c r="K358">
        <f>YEAR(financeData[[#This Row],[Date]])</f>
        <v>2023</v>
      </c>
    </row>
    <row r="359" spans="1:11" x14ac:dyDescent="0.3">
      <c r="A359" s="2">
        <v>45274.049180327856</v>
      </c>
      <c r="B359" t="s">
        <v>11</v>
      </c>
      <c r="C359" t="s">
        <v>21</v>
      </c>
      <c r="D359" t="s">
        <v>24</v>
      </c>
      <c r="E359">
        <v>6969</v>
      </c>
      <c r="F359">
        <v>96870</v>
      </c>
      <c r="G359">
        <v>15449</v>
      </c>
      <c r="H359" t="s">
        <v>28</v>
      </c>
      <c r="I359" t="s">
        <v>32</v>
      </c>
      <c r="J359" t="s">
        <v>36</v>
      </c>
      <c r="K359">
        <f>YEAR(financeData[[#This Row],[Date]])</f>
        <v>2023</v>
      </c>
    </row>
    <row r="360" spans="1:11" x14ac:dyDescent="0.3">
      <c r="A360" s="2">
        <v>45276.043715846987</v>
      </c>
      <c r="B360" t="s">
        <v>14</v>
      </c>
      <c r="C360" t="s">
        <v>19</v>
      </c>
      <c r="D360" t="s">
        <v>27</v>
      </c>
      <c r="E360">
        <v>48753</v>
      </c>
      <c r="F360">
        <v>16571</v>
      </c>
      <c r="G360">
        <v>55290</v>
      </c>
      <c r="H360" t="s">
        <v>29</v>
      </c>
      <c r="I360" t="s">
        <v>34</v>
      </c>
      <c r="J360" t="s">
        <v>35</v>
      </c>
      <c r="K360">
        <f>YEAR(financeData[[#This Row],[Date]])</f>
        <v>2023</v>
      </c>
    </row>
    <row r="361" spans="1:11" x14ac:dyDescent="0.3">
      <c r="A361" s="2">
        <v>45278.03825136611</v>
      </c>
      <c r="B361" t="s">
        <v>11</v>
      </c>
      <c r="C361" t="s">
        <v>21</v>
      </c>
      <c r="D361" t="s">
        <v>27</v>
      </c>
      <c r="E361">
        <v>140542</v>
      </c>
      <c r="F361">
        <v>96463</v>
      </c>
      <c r="G361">
        <v>91661</v>
      </c>
      <c r="H361" t="s">
        <v>31</v>
      </c>
      <c r="I361" t="s">
        <v>33</v>
      </c>
      <c r="J361" t="s">
        <v>36</v>
      </c>
      <c r="K361">
        <f>YEAR(financeData[[#This Row],[Date]])</f>
        <v>2023</v>
      </c>
    </row>
    <row r="362" spans="1:11" x14ac:dyDescent="0.3">
      <c r="A362" s="2">
        <v>45280.03278688524</v>
      </c>
      <c r="B362" t="s">
        <v>10</v>
      </c>
      <c r="C362" t="s">
        <v>17</v>
      </c>
      <c r="D362" t="s">
        <v>27</v>
      </c>
      <c r="E362">
        <v>126863</v>
      </c>
      <c r="F362">
        <v>59941</v>
      </c>
      <c r="G362">
        <v>77954</v>
      </c>
      <c r="H362" t="s">
        <v>30</v>
      </c>
      <c r="I362" t="s">
        <v>33</v>
      </c>
      <c r="J362" t="s">
        <v>35</v>
      </c>
      <c r="K362">
        <f>YEAR(financeData[[#This Row],[Date]])</f>
        <v>2023</v>
      </c>
    </row>
    <row r="363" spans="1:11" x14ac:dyDescent="0.3">
      <c r="A363" s="2">
        <v>45282.027322404363</v>
      </c>
      <c r="B363" t="s">
        <v>10</v>
      </c>
      <c r="C363" t="s">
        <v>20</v>
      </c>
      <c r="D363" t="s">
        <v>27</v>
      </c>
      <c r="E363">
        <v>15225</v>
      </c>
      <c r="F363">
        <v>60005</v>
      </c>
      <c r="G363">
        <v>27746</v>
      </c>
      <c r="H363" t="s">
        <v>28</v>
      </c>
      <c r="I363" t="s">
        <v>34</v>
      </c>
      <c r="J363" t="s">
        <v>35</v>
      </c>
      <c r="K363">
        <f>YEAR(financeData[[#This Row],[Date]])</f>
        <v>2023</v>
      </c>
    </row>
    <row r="364" spans="1:11" x14ac:dyDescent="0.3">
      <c r="A364" s="2">
        <v>45284.021857923493</v>
      </c>
      <c r="B364" t="s">
        <v>10</v>
      </c>
      <c r="C364" t="s">
        <v>16</v>
      </c>
      <c r="D364" t="s">
        <v>27</v>
      </c>
      <c r="E364">
        <v>128008</v>
      </c>
      <c r="F364">
        <v>88250</v>
      </c>
      <c r="G364">
        <v>72990</v>
      </c>
      <c r="H364" t="s">
        <v>29</v>
      </c>
      <c r="I364" t="s">
        <v>33</v>
      </c>
      <c r="J364" t="s">
        <v>35</v>
      </c>
      <c r="K364">
        <f>YEAR(financeData[[#This Row],[Date]])</f>
        <v>2023</v>
      </c>
    </row>
    <row r="365" spans="1:11" x14ac:dyDescent="0.3">
      <c r="A365" s="2">
        <v>45286.016393442616</v>
      </c>
      <c r="B365" t="s">
        <v>11</v>
      </c>
      <c r="C365" t="s">
        <v>21</v>
      </c>
      <c r="D365" t="s">
        <v>24</v>
      </c>
      <c r="E365">
        <v>110823</v>
      </c>
      <c r="F365">
        <v>60712</v>
      </c>
      <c r="G365">
        <v>63810</v>
      </c>
      <c r="H365" t="s">
        <v>28</v>
      </c>
      <c r="I365" t="s">
        <v>32</v>
      </c>
      <c r="J365" t="s">
        <v>36</v>
      </c>
      <c r="K365">
        <f>YEAR(financeData[[#This Row],[Date]])</f>
        <v>2023</v>
      </c>
    </row>
    <row r="366" spans="1:11" x14ac:dyDescent="0.3">
      <c r="A366" s="2">
        <v>45288.010928961747</v>
      </c>
      <c r="B366" t="s">
        <v>10</v>
      </c>
      <c r="C366" t="s">
        <v>19</v>
      </c>
      <c r="D366" t="s">
        <v>25</v>
      </c>
      <c r="E366">
        <v>18669</v>
      </c>
      <c r="F366">
        <v>45541</v>
      </c>
      <c r="G366">
        <v>88297</v>
      </c>
      <c r="H366" t="s">
        <v>31</v>
      </c>
      <c r="I366" t="s">
        <v>32</v>
      </c>
      <c r="J366" t="s">
        <v>35</v>
      </c>
      <c r="K366">
        <f>YEAR(financeData[[#This Row],[Date]])</f>
        <v>2023</v>
      </c>
    </row>
    <row r="367" spans="1:11" x14ac:dyDescent="0.3">
      <c r="A367" s="2">
        <v>45290.00546448087</v>
      </c>
      <c r="B367" t="s">
        <v>11</v>
      </c>
      <c r="C367" t="s">
        <v>19</v>
      </c>
      <c r="D367" t="s">
        <v>22</v>
      </c>
      <c r="E367">
        <v>129398</v>
      </c>
      <c r="F367">
        <v>25387</v>
      </c>
      <c r="G367">
        <v>20223</v>
      </c>
      <c r="H367" t="s">
        <v>31</v>
      </c>
      <c r="I367" t="s">
        <v>34</v>
      </c>
      <c r="J367" t="s">
        <v>35</v>
      </c>
      <c r="K367">
        <f>YEAR(financeData[[#This Row],[Date]])</f>
        <v>2023</v>
      </c>
    </row>
    <row r="368" spans="1:11" x14ac:dyDescent="0.3">
      <c r="A368" s="2">
        <v>45292</v>
      </c>
      <c r="B368" t="s">
        <v>10</v>
      </c>
      <c r="C368" t="s">
        <v>21</v>
      </c>
      <c r="D368" t="s">
        <v>27</v>
      </c>
      <c r="E368">
        <v>115677</v>
      </c>
      <c r="F368">
        <v>95980</v>
      </c>
      <c r="G368">
        <v>77237</v>
      </c>
      <c r="H368" t="s">
        <v>30</v>
      </c>
      <c r="I368" t="s">
        <v>32</v>
      </c>
      <c r="J368" t="s">
        <v>36</v>
      </c>
      <c r="K368">
        <f>YEAR(financeData[[#This Row],[Date]])</f>
        <v>2024</v>
      </c>
    </row>
    <row r="369" spans="1:11" x14ac:dyDescent="0.3">
      <c r="A369" s="2">
        <v>45293.994535519123</v>
      </c>
      <c r="B369" t="s">
        <v>12</v>
      </c>
      <c r="C369" t="s">
        <v>18</v>
      </c>
      <c r="D369" t="s">
        <v>25</v>
      </c>
      <c r="E369">
        <v>53320</v>
      </c>
      <c r="F369">
        <v>50908</v>
      </c>
      <c r="G369">
        <v>7597</v>
      </c>
      <c r="H369" t="s">
        <v>29</v>
      </c>
      <c r="I369" t="s">
        <v>34</v>
      </c>
      <c r="J369" t="s">
        <v>36</v>
      </c>
      <c r="K369">
        <f>YEAR(financeData[[#This Row],[Date]])</f>
        <v>2024</v>
      </c>
    </row>
    <row r="370" spans="1:11" x14ac:dyDescent="0.3">
      <c r="A370" s="2">
        <v>45295.989071038239</v>
      </c>
      <c r="B370" t="s">
        <v>10</v>
      </c>
      <c r="C370" t="s">
        <v>16</v>
      </c>
      <c r="D370" t="s">
        <v>25</v>
      </c>
      <c r="E370">
        <v>130354</v>
      </c>
      <c r="F370">
        <v>87457</v>
      </c>
      <c r="G370">
        <v>70677</v>
      </c>
      <c r="H370" t="s">
        <v>29</v>
      </c>
      <c r="I370" t="s">
        <v>34</v>
      </c>
      <c r="J370" t="s">
        <v>36</v>
      </c>
      <c r="K370">
        <f>YEAR(financeData[[#This Row],[Date]])</f>
        <v>2024</v>
      </c>
    </row>
    <row r="371" spans="1:11" x14ac:dyDescent="0.3">
      <c r="A371" s="2">
        <v>45297.983606557369</v>
      </c>
      <c r="B371" t="s">
        <v>11</v>
      </c>
      <c r="C371" t="s">
        <v>18</v>
      </c>
      <c r="D371" t="s">
        <v>22</v>
      </c>
      <c r="E371">
        <v>93009</v>
      </c>
      <c r="F371">
        <v>15057</v>
      </c>
      <c r="G371">
        <v>7659</v>
      </c>
      <c r="H371" t="s">
        <v>30</v>
      </c>
      <c r="I371" t="s">
        <v>32</v>
      </c>
      <c r="J371" t="s">
        <v>35</v>
      </c>
      <c r="K371">
        <f>YEAR(financeData[[#This Row],[Date]])</f>
        <v>2024</v>
      </c>
    </row>
    <row r="372" spans="1:11" x14ac:dyDescent="0.3">
      <c r="A372" s="2">
        <v>45299.978142076492</v>
      </c>
      <c r="B372" t="s">
        <v>13</v>
      </c>
      <c r="C372" t="s">
        <v>20</v>
      </c>
      <c r="D372" t="s">
        <v>24</v>
      </c>
      <c r="E372">
        <v>33625</v>
      </c>
      <c r="F372">
        <v>66028</v>
      </c>
      <c r="G372">
        <v>91516</v>
      </c>
      <c r="H372" t="s">
        <v>30</v>
      </c>
      <c r="I372" t="s">
        <v>34</v>
      </c>
      <c r="J372" t="s">
        <v>35</v>
      </c>
      <c r="K372">
        <f>YEAR(financeData[[#This Row],[Date]])</f>
        <v>2024</v>
      </c>
    </row>
    <row r="373" spans="1:11" x14ac:dyDescent="0.3">
      <c r="A373" s="2">
        <v>45301.972677595622</v>
      </c>
      <c r="B373" t="s">
        <v>10</v>
      </c>
      <c r="C373" t="s">
        <v>19</v>
      </c>
      <c r="D373" t="s">
        <v>26</v>
      </c>
      <c r="E373">
        <v>29089</v>
      </c>
      <c r="F373">
        <v>57731</v>
      </c>
      <c r="G373">
        <v>79567</v>
      </c>
      <c r="H373" t="s">
        <v>29</v>
      </c>
      <c r="I373" t="s">
        <v>32</v>
      </c>
      <c r="J373" t="s">
        <v>36</v>
      </c>
      <c r="K373">
        <f>YEAR(financeData[[#This Row],[Date]])</f>
        <v>2024</v>
      </c>
    </row>
    <row r="374" spans="1:11" x14ac:dyDescent="0.3">
      <c r="A374" s="2">
        <v>45303.967213114753</v>
      </c>
      <c r="B374" t="s">
        <v>13</v>
      </c>
      <c r="C374" t="s">
        <v>19</v>
      </c>
      <c r="D374" t="s">
        <v>26</v>
      </c>
      <c r="E374">
        <v>41487</v>
      </c>
      <c r="F374">
        <v>26858</v>
      </c>
      <c r="G374">
        <v>20037</v>
      </c>
      <c r="H374" t="s">
        <v>28</v>
      </c>
      <c r="I374" t="s">
        <v>33</v>
      </c>
      <c r="J374" t="s">
        <v>35</v>
      </c>
      <c r="K374">
        <f>YEAR(financeData[[#This Row],[Date]])</f>
        <v>2024</v>
      </c>
    </row>
    <row r="375" spans="1:11" x14ac:dyDescent="0.3">
      <c r="A375" s="2">
        <v>45305.961748633883</v>
      </c>
      <c r="B375" t="s">
        <v>12</v>
      </c>
      <c r="C375" t="s">
        <v>17</v>
      </c>
      <c r="D375" t="s">
        <v>25</v>
      </c>
      <c r="E375">
        <v>115448</v>
      </c>
      <c r="F375">
        <v>50689</v>
      </c>
      <c r="G375">
        <v>51738</v>
      </c>
      <c r="H375" t="s">
        <v>28</v>
      </c>
      <c r="I375" t="s">
        <v>33</v>
      </c>
      <c r="J375" t="s">
        <v>36</v>
      </c>
      <c r="K375">
        <f>YEAR(financeData[[#This Row],[Date]])</f>
        <v>2024</v>
      </c>
    </row>
    <row r="376" spans="1:11" x14ac:dyDescent="0.3">
      <c r="A376" s="2">
        <v>45307.956284152999</v>
      </c>
      <c r="B376" t="s">
        <v>14</v>
      </c>
      <c r="C376" t="s">
        <v>20</v>
      </c>
      <c r="D376" t="s">
        <v>23</v>
      </c>
      <c r="E376">
        <v>55138</v>
      </c>
      <c r="F376">
        <v>46638</v>
      </c>
      <c r="G376">
        <v>108965</v>
      </c>
      <c r="H376" t="s">
        <v>30</v>
      </c>
      <c r="I376" t="s">
        <v>34</v>
      </c>
      <c r="J376" t="s">
        <v>36</v>
      </c>
      <c r="K376">
        <f>YEAR(financeData[[#This Row],[Date]])</f>
        <v>2024</v>
      </c>
    </row>
    <row r="377" spans="1:11" x14ac:dyDescent="0.3">
      <c r="A377" s="2">
        <v>45309.950819672129</v>
      </c>
      <c r="B377" t="s">
        <v>12</v>
      </c>
      <c r="C377" t="s">
        <v>19</v>
      </c>
      <c r="D377" t="s">
        <v>23</v>
      </c>
      <c r="E377">
        <v>59061</v>
      </c>
      <c r="F377">
        <v>93598</v>
      </c>
      <c r="G377">
        <v>76678</v>
      </c>
      <c r="H377" t="s">
        <v>28</v>
      </c>
      <c r="I377" t="s">
        <v>32</v>
      </c>
      <c r="J377" t="s">
        <v>35</v>
      </c>
      <c r="K377">
        <f>YEAR(financeData[[#This Row],[Date]])</f>
        <v>2024</v>
      </c>
    </row>
    <row r="378" spans="1:11" x14ac:dyDescent="0.3">
      <c r="A378" s="2">
        <v>45311.945355191252</v>
      </c>
      <c r="B378" t="s">
        <v>10</v>
      </c>
      <c r="C378" t="s">
        <v>20</v>
      </c>
      <c r="D378" t="s">
        <v>22</v>
      </c>
      <c r="E378">
        <v>106376</v>
      </c>
      <c r="F378">
        <v>48486</v>
      </c>
      <c r="G378">
        <v>17109</v>
      </c>
      <c r="H378" t="s">
        <v>29</v>
      </c>
      <c r="I378" t="s">
        <v>32</v>
      </c>
      <c r="J378" t="s">
        <v>35</v>
      </c>
      <c r="K378">
        <f>YEAR(financeData[[#This Row],[Date]])</f>
        <v>2024</v>
      </c>
    </row>
    <row r="379" spans="1:11" x14ac:dyDescent="0.3">
      <c r="A379" s="2">
        <v>45313.939890710382</v>
      </c>
      <c r="B379" t="s">
        <v>13</v>
      </c>
      <c r="C379" t="s">
        <v>16</v>
      </c>
      <c r="D379" t="s">
        <v>26</v>
      </c>
      <c r="E379">
        <v>84134</v>
      </c>
      <c r="F379">
        <v>22567</v>
      </c>
      <c r="G379">
        <v>27010</v>
      </c>
      <c r="H379" t="s">
        <v>31</v>
      </c>
      <c r="I379" t="s">
        <v>33</v>
      </c>
      <c r="J379" t="s">
        <v>36</v>
      </c>
      <c r="K379">
        <f>YEAR(financeData[[#This Row],[Date]])</f>
        <v>2024</v>
      </c>
    </row>
    <row r="380" spans="1:11" x14ac:dyDescent="0.3">
      <c r="A380" s="2">
        <v>45315.934426229513</v>
      </c>
      <c r="B380" t="s">
        <v>13</v>
      </c>
      <c r="C380" t="s">
        <v>15</v>
      </c>
      <c r="D380" t="s">
        <v>25</v>
      </c>
      <c r="E380">
        <v>52055</v>
      </c>
      <c r="F380">
        <v>31739</v>
      </c>
      <c r="G380">
        <v>13787</v>
      </c>
      <c r="H380" t="s">
        <v>31</v>
      </c>
      <c r="I380" t="s">
        <v>33</v>
      </c>
      <c r="J380" t="s">
        <v>36</v>
      </c>
      <c r="K380">
        <f>YEAR(financeData[[#This Row],[Date]])</f>
        <v>2024</v>
      </c>
    </row>
    <row r="381" spans="1:11" x14ac:dyDescent="0.3">
      <c r="A381" s="2">
        <v>45317.928961748621</v>
      </c>
      <c r="B381" t="s">
        <v>11</v>
      </c>
      <c r="C381" t="s">
        <v>19</v>
      </c>
      <c r="D381" t="s">
        <v>24</v>
      </c>
      <c r="E381">
        <v>24508</v>
      </c>
      <c r="F381">
        <v>59804</v>
      </c>
      <c r="G381">
        <v>113400</v>
      </c>
      <c r="H381" t="s">
        <v>28</v>
      </c>
      <c r="I381" t="s">
        <v>32</v>
      </c>
      <c r="J381" t="s">
        <v>36</v>
      </c>
      <c r="K381">
        <f>YEAR(financeData[[#This Row],[Date]])</f>
        <v>2024</v>
      </c>
    </row>
    <row r="382" spans="1:11" x14ac:dyDescent="0.3">
      <c r="A382" s="2">
        <v>45319.923497267751</v>
      </c>
      <c r="B382" t="s">
        <v>13</v>
      </c>
      <c r="C382" t="s">
        <v>17</v>
      </c>
      <c r="D382" t="s">
        <v>26</v>
      </c>
      <c r="E382">
        <v>115169</v>
      </c>
      <c r="F382">
        <v>5754</v>
      </c>
      <c r="G382">
        <v>13472</v>
      </c>
      <c r="H382" t="s">
        <v>30</v>
      </c>
      <c r="I382" t="s">
        <v>34</v>
      </c>
      <c r="J382" t="s">
        <v>36</v>
      </c>
      <c r="K382">
        <f>YEAR(financeData[[#This Row],[Date]])</f>
        <v>2024</v>
      </c>
    </row>
    <row r="383" spans="1:11" x14ac:dyDescent="0.3">
      <c r="A383" s="2">
        <v>45321.918032786867</v>
      </c>
      <c r="B383" t="s">
        <v>11</v>
      </c>
      <c r="C383" t="s">
        <v>16</v>
      </c>
      <c r="D383" t="s">
        <v>25</v>
      </c>
      <c r="E383">
        <v>13125</v>
      </c>
      <c r="F383">
        <v>29044</v>
      </c>
      <c r="G383">
        <v>28383</v>
      </c>
      <c r="H383" t="s">
        <v>30</v>
      </c>
      <c r="I383" t="s">
        <v>33</v>
      </c>
      <c r="J383" t="s">
        <v>35</v>
      </c>
      <c r="K383">
        <f>YEAR(financeData[[#This Row],[Date]])</f>
        <v>2024</v>
      </c>
    </row>
    <row r="384" spans="1:11" x14ac:dyDescent="0.3">
      <c r="A384" s="2">
        <v>45323.912568305997</v>
      </c>
      <c r="B384" t="s">
        <v>14</v>
      </c>
      <c r="C384" t="s">
        <v>21</v>
      </c>
      <c r="D384" t="s">
        <v>25</v>
      </c>
      <c r="E384">
        <v>41059</v>
      </c>
      <c r="F384">
        <v>69260</v>
      </c>
      <c r="G384">
        <v>66709</v>
      </c>
      <c r="H384" t="s">
        <v>30</v>
      </c>
      <c r="I384" t="s">
        <v>34</v>
      </c>
      <c r="J384" t="s">
        <v>36</v>
      </c>
      <c r="K384">
        <f>YEAR(financeData[[#This Row],[Date]])</f>
        <v>2024</v>
      </c>
    </row>
    <row r="385" spans="1:11" x14ac:dyDescent="0.3">
      <c r="A385" s="2">
        <v>45325.907103825128</v>
      </c>
      <c r="B385" t="s">
        <v>10</v>
      </c>
      <c r="C385" t="s">
        <v>20</v>
      </c>
      <c r="D385" t="s">
        <v>27</v>
      </c>
      <c r="E385">
        <v>108409</v>
      </c>
      <c r="F385">
        <v>68912</v>
      </c>
      <c r="G385">
        <v>74785</v>
      </c>
      <c r="H385" t="s">
        <v>30</v>
      </c>
      <c r="I385" t="s">
        <v>34</v>
      </c>
      <c r="J385" t="s">
        <v>36</v>
      </c>
      <c r="K385">
        <f>YEAR(financeData[[#This Row],[Date]])</f>
        <v>2024</v>
      </c>
    </row>
    <row r="386" spans="1:11" x14ac:dyDescent="0.3">
      <c r="A386" s="2">
        <v>45327.901639344258</v>
      </c>
      <c r="B386" t="s">
        <v>11</v>
      </c>
      <c r="C386" t="s">
        <v>21</v>
      </c>
      <c r="D386" t="s">
        <v>24</v>
      </c>
      <c r="E386">
        <v>10704</v>
      </c>
      <c r="F386">
        <v>10706</v>
      </c>
      <c r="G386">
        <v>118253</v>
      </c>
      <c r="H386" t="s">
        <v>30</v>
      </c>
      <c r="I386" t="s">
        <v>33</v>
      </c>
      <c r="J386" t="s">
        <v>36</v>
      </c>
      <c r="K386">
        <f>YEAR(financeData[[#This Row],[Date]])</f>
        <v>2024</v>
      </c>
    </row>
    <row r="387" spans="1:11" x14ac:dyDescent="0.3">
      <c r="A387" s="2">
        <v>45329.896174863381</v>
      </c>
      <c r="B387" t="s">
        <v>14</v>
      </c>
      <c r="C387" t="s">
        <v>18</v>
      </c>
      <c r="D387" t="s">
        <v>27</v>
      </c>
      <c r="E387">
        <v>116279</v>
      </c>
      <c r="F387">
        <v>10894</v>
      </c>
      <c r="G387">
        <v>39518</v>
      </c>
      <c r="H387" t="s">
        <v>28</v>
      </c>
      <c r="I387" t="s">
        <v>34</v>
      </c>
      <c r="J387" t="s">
        <v>35</v>
      </c>
      <c r="K387">
        <f>YEAR(financeData[[#This Row],[Date]])</f>
        <v>2024</v>
      </c>
    </row>
    <row r="388" spans="1:11" x14ac:dyDescent="0.3">
      <c r="A388" s="2">
        <v>45331.890710382511</v>
      </c>
      <c r="B388" t="s">
        <v>13</v>
      </c>
      <c r="C388" t="s">
        <v>16</v>
      </c>
      <c r="D388" t="s">
        <v>22</v>
      </c>
      <c r="E388">
        <v>123516</v>
      </c>
      <c r="F388">
        <v>20037</v>
      </c>
      <c r="G388">
        <v>58909</v>
      </c>
      <c r="H388" t="s">
        <v>31</v>
      </c>
      <c r="I388" t="s">
        <v>34</v>
      </c>
      <c r="J388" t="s">
        <v>35</v>
      </c>
      <c r="K388">
        <f>YEAR(financeData[[#This Row],[Date]])</f>
        <v>2024</v>
      </c>
    </row>
    <row r="389" spans="1:11" x14ac:dyDescent="0.3">
      <c r="A389" s="2">
        <v>45333.885245901627</v>
      </c>
      <c r="B389" t="s">
        <v>13</v>
      </c>
      <c r="C389" t="s">
        <v>21</v>
      </c>
      <c r="D389" t="s">
        <v>27</v>
      </c>
      <c r="E389">
        <v>119044</v>
      </c>
      <c r="F389">
        <v>85986</v>
      </c>
      <c r="G389">
        <v>23351</v>
      </c>
      <c r="H389" t="s">
        <v>31</v>
      </c>
      <c r="I389" t="s">
        <v>32</v>
      </c>
      <c r="J389" t="s">
        <v>36</v>
      </c>
      <c r="K389">
        <f>YEAR(financeData[[#This Row],[Date]])</f>
        <v>2024</v>
      </c>
    </row>
    <row r="390" spans="1:11" x14ac:dyDescent="0.3">
      <c r="A390" s="2">
        <v>45335.879781420757</v>
      </c>
      <c r="B390" t="s">
        <v>14</v>
      </c>
      <c r="C390" t="s">
        <v>19</v>
      </c>
      <c r="D390" t="s">
        <v>27</v>
      </c>
      <c r="E390">
        <v>34165</v>
      </c>
      <c r="F390">
        <v>83942</v>
      </c>
      <c r="G390">
        <v>74624</v>
      </c>
      <c r="H390" t="s">
        <v>28</v>
      </c>
      <c r="I390" t="s">
        <v>34</v>
      </c>
      <c r="J390" t="s">
        <v>35</v>
      </c>
      <c r="K390">
        <f>YEAR(financeData[[#This Row],[Date]])</f>
        <v>2024</v>
      </c>
    </row>
    <row r="391" spans="1:11" x14ac:dyDescent="0.3">
      <c r="A391" s="2">
        <v>45337.874316939888</v>
      </c>
      <c r="B391" t="s">
        <v>13</v>
      </c>
      <c r="C391" t="s">
        <v>20</v>
      </c>
      <c r="D391" t="s">
        <v>26</v>
      </c>
      <c r="E391">
        <v>72203</v>
      </c>
      <c r="F391">
        <v>53612</v>
      </c>
      <c r="G391">
        <v>58330</v>
      </c>
      <c r="H391" t="s">
        <v>30</v>
      </c>
      <c r="I391" t="s">
        <v>32</v>
      </c>
      <c r="J391" t="s">
        <v>35</v>
      </c>
      <c r="K391">
        <f>YEAR(financeData[[#This Row],[Date]])</f>
        <v>2024</v>
      </c>
    </row>
    <row r="392" spans="1:11" x14ac:dyDescent="0.3">
      <c r="A392" s="2">
        <v>45339.868852459018</v>
      </c>
      <c r="B392" t="s">
        <v>14</v>
      </c>
      <c r="C392" t="s">
        <v>15</v>
      </c>
      <c r="D392" t="s">
        <v>23</v>
      </c>
      <c r="E392">
        <v>9114</v>
      </c>
      <c r="F392">
        <v>31725</v>
      </c>
      <c r="G392">
        <v>20282</v>
      </c>
      <c r="H392" t="s">
        <v>28</v>
      </c>
      <c r="I392" t="s">
        <v>33</v>
      </c>
      <c r="J392" t="s">
        <v>35</v>
      </c>
      <c r="K392">
        <f>YEAR(financeData[[#This Row],[Date]])</f>
        <v>2024</v>
      </c>
    </row>
    <row r="393" spans="1:11" x14ac:dyDescent="0.3">
      <c r="A393" s="2">
        <v>45341.863387978126</v>
      </c>
      <c r="B393" t="s">
        <v>11</v>
      </c>
      <c r="C393" t="s">
        <v>16</v>
      </c>
      <c r="D393" t="s">
        <v>25</v>
      </c>
      <c r="E393">
        <v>41321</v>
      </c>
      <c r="F393">
        <v>7926</v>
      </c>
      <c r="G393">
        <v>89866</v>
      </c>
      <c r="H393" t="s">
        <v>31</v>
      </c>
      <c r="I393" t="s">
        <v>33</v>
      </c>
      <c r="J393" t="s">
        <v>36</v>
      </c>
      <c r="K393">
        <f>YEAR(financeData[[#This Row],[Date]])</f>
        <v>2024</v>
      </c>
    </row>
    <row r="394" spans="1:11" x14ac:dyDescent="0.3">
      <c r="A394" s="2">
        <v>45343.857923497257</v>
      </c>
      <c r="B394" t="s">
        <v>11</v>
      </c>
      <c r="C394" t="s">
        <v>19</v>
      </c>
      <c r="D394" t="s">
        <v>24</v>
      </c>
      <c r="E394">
        <v>78297</v>
      </c>
      <c r="F394">
        <v>11496</v>
      </c>
      <c r="G394">
        <v>112945</v>
      </c>
      <c r="H394" t="s">
        <v>29</v>
      </c>
      <c r="I394" t="s">
        <v>32</v>
      </c>
      <c r="J394" t="s">
        <v>36</v>
      </c>
      <c r="K394">
        <f>YEAR(financeData[[#This Row],[Date]])</f>
        <v>2024</v>
      </c>
    </row>
    <row r="395" spans="1:11" x14ac:dyDescent="0.3">
      <c r="A395" s="2">
        <v>45345.852459016387</v>
      </c>
      <c r="B395" t="s">
        <v>14</v>
      </c>
      <c r="C395" t="s">
        <v>17</v>
      </c>
      <c r="D395" t="s">
        <v>27</v>
      </c>
      <c r="E395">
        <v>101652</v>
      </c>
      <c r="F395">
        <v>58447</v>
      </c>
      <c r="G395">
        <v>26778</v>
      </c>
      <c r="H395" t="s">
        <v>28</v>
      </c>
      <c r="I395" t="s">
        <v>33</v>
      </c>
      <c r="J395" t="s">
        <v>35</v>
      </c>
      <c r="K395">
        <f>YEAR(financeData[[#This Row],[Date]])</f>
        <v>2024</v>
      </c>
    </row>
    <row r="396" spans="1:11" x14ac:dyDescent="0.3">
      <c r="A396" s="2">
        <v>45347.84699453551</v>
      </c>
      <c r="B396" t="s">
        <v>11</v>
      </c>
      <c r="C396" t="s">
        <v>18</v>
      </c>
      <c r="D396" t="s">
        <v>24</v>
      </c>
      <c r="E396">
        <v>104304</v>
      </c>
      <c r="F396">
        <v>31806</v>
      </c>
      <c r="G396">
        <v>29264</v>
      </c>
      <c r="H396" t="s">
        <v>30</v>
      </c>
      <c r="I396" t="s">
        <v>34</v>
      </c>
      <c r="J396" t="s">
        <v>36</v>
      </c>
      <c r="K396">
        <f>YEAR(financeData[[#This Row],[Date]])</f>
        <v>2024</v>
      </c>
    </row>
    <row r="397" spans="1:11" x14ac:dyDescent="0.3">
      <c r="A397" s="2">
        <v>45349.84153005464</v>
      </c>
      <c r="B397" t="s">
        <v>11</v>
      </c>
      <c r="C397" t="s">
        <v>20</v>
      </c>
      <c r="D397" t="s">
        <v>23</v>
      </c>
      <c r="E397">
        <v>22772</v>
      </c>
      <c r="F397">
        <v>90199</v>
      </c>
      <c r="G397">
        <v>64675</v>
      </c>
      <c r="H397" t="s">
        <v>31</v>
      </c>
      <c r="I397" t="s">
        <v>34</v>
      </c>
      <c r="J397" t="s">
        <v>36</v>
      </c>
      <c r="K397">
        <f>YEAR(financeData[[#This Row],[Date]])</f>
        <v>2024</v>
      </c>
    </row>
    <row r="398" spans="1:11" x14ac:dyDescent="0.3">
      <c r="A398" s="2">
        <v>45351.836065573763</v>
      </c>
      <c r="B398" t="s">
        <v>11</v>
      </c>
      <c r="C398" t="s">
        <v>16</v>
      </c>
      <c r="D398" t="s">
        <v>23</v>
      </c>
      <c r="E398">
        <v>108754</v>
      </c>
      <c r="F398">
        <v>43321</v>
      </c>
      <c r="G398">
        <v>10075</v>
      </c>
      <c r="H398" t="s">
        <v>31</v>
      </c>
      <c r="I398" t="s">
        <v>34</v>
      </c>
      <c r="J398" t="s">
        <v>35</v>
      </c>
      <c r="K398">
        <f>YEAR(financeData[[#This Row],[Date]])</f>
        <v>2024</v>
      </c>
    </row>
    <row r="399" spans="1:11" x14ac:dyDescent="0.3">
      <c r="A399" s="2">
        <v>45353.830601092894</v>
      </c>
      <c r="B399" t="s">
        <v>12</v>
      </c>
      <c r="C399" t="s">
        <v>16</v>
      </c>
      <c r="D399" t="s">
        <v>27</v>
      </c>
      <c r="E399">
        <v>8712</v>
      </c>
      <c r="F399">
        <v>67095</v>
      </c>
      <c r="G399">
        <v>80948</v>
      </c>
      <c r="H399" t="s">
        <v>31</v>
      </c>
      <c r="I399" t="s">
        <v>33</v>
      </c>
      <c r="J399" t="s">
        <v>35</v>
      </c>
      <c r="K399">
        <f>YEAR(financeData[[#This Row],[Date]])</f>
        <v>2024</v>
      </c>
    </row>
    <row r="400" spans="1:11" x14ac:dyDescent="0.3">
      <c r="A400" s="2">
        <v>45355.825136612017</v>
      </c>
      <c r="B400" t="s">
        <v>10</v>
      </c>
      <c r="C400" t="s">
        <v>15</v>
      </c>
      <c r="D400" t="s">
        <v>22</v>
      </c>
      <c r="E400">
        <v>137439</v>
      </c>
      <c r="F400">
        <v>24656</v>
      </c>
      <c r="G400">
        <v>53454</v>
      </c>
      <c r="H400" t="s">
        <v>31</v>
      </c>
      <c r="I400" t="s">
        <v>34</v>
      </c>
      <c r="J400" t="s">
        <v>36</v>
      </c>
      <c r="K400">
        <f>YEAR(financeData[[#This Row],[Date]])</f>
        <v>2024</v>
      </c>
    </row>
    <row r="401" spans="1:11" x14ac:dyDescent="0.3">
      <c r="A401" s="2">
        <v>45357.819672131147</v>
      </c>
      <c r="B401" t="s">
        <v>13</v>
      </c>
      <c r="C401" t="s">
        <v>15</v>
      </c>
      <c r="D401" t="s">
        <v>27</v>
      </c>
      <c r="E401">
        <v>120142</v>
      </c>
      <c r="F401">
        <v>57147</v>
      </c>
      <c r="G401">
        <v>33365</v>
      </c>
      <c r="H401" t="s">
        <v>30</v>
      </c>
      <c r="I401" t="s">
        <v>33</v>
      </c>
      <c r="J401" t="s">
        <v>35</v>
      </c>
      <c r="K401">
        <f>YEAR(financeData[[#This Row],[Date]])</f>
        <v>2024</v>
      </c>
    </row>
    <row r="402" spans="1:11" x14ac:dyDescent="0.3">
      <c r="A402" s="2">
        <v>45359.814207650263</v>
      </c>
      <c r="B402" t="s">
        <v>12</v>
      </c>
      <c r="C402" t="s">
        <v>17</v>
      </c>
      <c r="D402" t="s">
        <v>26</v>
      </c>
      <c r="E402">
        <v>96736</v>
      </c>
      <c r="F402">
        <v>93396</v>
      </c>
      <c r="G402">
        <v>77766</v>
      </c>
      <c r="H402" t="s">
        <v>29</v>
      </c>
      <c r="I402" t="s">
        <v>34</v>
      </c>
      <c r="J402" t="s">
        <v>36</v>
      </c>
      <c r="K402">
        <f>YEAR(financeData[[#This Row],[Date]])</f>
        <v>2024</v>
      </c>
    </row>
    <row r="403" spans="1:11" x14ac:dyDescent="0.3">
      <c r="A403" s="2">
        <v>45361.8087431694</v>
      </c>
      <c r="B403" t="s">
        <v>11</v>
      </c>
      <c r="C403" t="s">
        <v>18</v>
      </c>
      <c r="D403" t="s">
        <v>25</v>
      </c>
      <c r="E403">
        <v>56924</v>
      </c>
      <c r="F403">
        <v>51666</v>
      </c>
      <c r="G403">
        <v>53200</v>
      </c>
      <c r="H403" t="s">
        <v>31</v>
      </c>
      <c r="I403" t="s">
        <v>32</v>
      </c>
      <c r="J403" t="s">
        <v>36</v>
      </c>
      <c r="K403">
        <f>YEAR(financeData[[#This Row],[Date]])</f>
        <v>2024</v>
      </c>
    </row>
    <row r="404" spans="1:11" x14ac:dyDescent="0.3">
      <c r="A404" s="2">
        <v>45363.803278688523</v>
      </c>
      <c r="B404" t="s">
        <v>14</v>
      </c>
      <c r="C404" t="s">
        <v>17</v>
      </c>
      <c r="D404" t="s">
        <v>22</v>
      </c>
      <c r="E404">
        <v>8726</v>
      </c>
      <c r="F404">
        <v>84368</v>
      </c>
      <c r="G404">
        <v>16002</v>
      </c>
      <c r="H404" t="s">
        <v>28</v>
      </c>
      <c r="I404" t="s">
        <v>33</v>
      </c>
      <c r="J404" t="s">
        <v>35</v>
      </c>
      <c r="K404">
        <f>YEAR(financeData[[#This Row],[Date]])</f>
        <v>2024</v>
      </c>
    </row>
    <row r="405" spans="1:11" x14ac:dyDescent="0.3">
      <c r="A405" s="2">
        <v>45365.797814207639</v>
      </c>
      <c r="B405" t="s">
        <v>11</v>
      </c>
      <c r="C405" t="s">
        <v>19</v>
      </c>
      <c r="D405" t="s">
        <v>27</v>
      </c>
      <c r="E405">
        <v>94152</v>
      </c>
      <c r="F405">
        <v>40787</v>
      </c>
      <c r="G405">
        <v>18947</v>
      </c>
      <c r="H405" t="s">
        <v>29</v>
      </c>
      <c r="I405" t="s">
        <v>33</v>
      </c>
      <c r="J405" t="s">
        <v>36</v>
      </c>
      <c r="K405">
        <f>YEAR(financeData[[#This Row],[Date]])</f>
        <v>2024</v>
      </c>
    </row>
    <row r="406" spans="1:11" x14ac:dyDescent="0.3">
      <c r="A406" s="2">
        <v>45367.792349726769</v>
      </c>
      <c r="B406" t="s">
        <v>10</v>
      </c>
      <c r="C406" t="s">
        <v>19</v>
      </c>
      <c r="D406" t="s">
        <v>24</v>
      </c>
      <c r="E406">
        <v>32723</v>
      </c>
      <c r="F406">
        <v>64946</v>
      </c>
      <c r="G406">
        <v>84222</v>
      </c>
      <c r="H406" t="s">
        <v>31</v>
      </c>
      <c r="I406" t="s">
        <v>34</v>
      </c>
      <c r="J406" t="s">
        <v>36</v>
      </c>
      <c r="K406">
        <f>YEAR(financeData[[#This Row],[Date]])</f>
        <v>2024</v>
      </c>
    </row>
    <row r="407" spans="1:11" x14ac:dyDescent="0.3">
      <c r="A407" s="2">
        <v>45369.786885245892</v>
      </c>
      <c r="B407" t="s">
        <v>11</v>
      </c>
      <c r="C407" t="s">
        <v>17</v>
      </c>
      <c r="D407" t="s">
        <v>22</v>
      </c>
      <c r="E407">
        <v>131969</v>
      </c>
      <c r="F407">
        <v>23727</v>
      </c>
      <c r="G407">
        <v>99840</v>
      </c>
      <c r="H407" t="s">
        <v>29</v>
      </c>
      <c r="I407" t="s">
        <v>33</v>
      </c>
      <c r="J407" t="s">
        <v>35</v>
      </c>
      <c r="K407">
        <f>YEAR(financeData[[#This Row],[Date]])</f>
        <v>2024</v>
      </c>
    </row>
    <row r="408" spans="1:11" x14ac:dyDescent="0.3">
      <c r="A408" s="2">
        <v>45371.781420765023</v>
      </c>
      <c r="B408" t="s">
        <v>14</v>
      </c>
      <c r="C408" t="s">
        <v>18</v>
      </c>
      <c r="D408" t="s">
        <v>22</v>
      </c>
      <c r="E408">
        <v>105494</v>
      </c>
      <c r="F408">
        <v>97081</v>
      </c>
      <c r="G408">
        <v>83610</v>
      </c>
      <c r="H408" t="s">
        <v>28</v>
      </c>
      <c r="I408" t="s">
        <v>33</v>
      </c>
      <c r="J408" t="s">
        <v>35</v>
      </c>
      <c r="K408">
        <f>YEAR(financeData[[#This Row],[Date]])</f>
        <v>2024</v>
      </c>
    </row>
    <row r="409" spans="1:11" x14ac:dyDescent="0.3">
      <c r="A409" s="2">
        <v>45373.775956284153</v>
      </c>
      <c r="B409" t="s">
        <v>10</v>
      </c>
      <c r="C409" t="s">
        <v>17</v>
      </c>
      <c r="D409" t="s">
        <v>27</v>
      </c>
      <c r="E409">
        <v>145180</v>
      </c>
      <c r="F409">
        <v>70056</v>
      </c>
      <c r="G409">
        <v>57142</v>
      </c>
      <c r="H409" t="s">
        <v>31</v>
      </c>
      <c r="I409" t="s">
        <v>32</v>
      </c>
      <c r="J409" t="s">
        <v>35</v>
      </c>
      <c r="K409">
        <f>YEAR(financeData[[#This Row],[Date]])</f>
        <v>2024</v>
      </c>
    </row>
    <row r="410" spans="1:11" x14ac:dyDescent="0.3">
      <c r="A410" s="2">
        <v>45375.770491803283</v>
      </c>
      <c r="B410" t="s">
        <v>11</v>
      </c>
      <c r="C410" t="s">
        <v>18</v>
      </c>
      <c r="D410" t="s">
        <v>22</v>
      </c>
      <c r="E410">
        <v>40643</v>
      </c>
      <c r="F410">
        <v>5081</v>
      </c>
      <c r="G410">
        <v>61307</v>
      </c>
      <c r="H410" t="s">
        <v>28</v>
      </c>
      <c r="I410" t="s">
        <v>32</v>
      </c>
      <c r="J410" t="s">
        <v>36</v>
      </c>
      <c r="K410">
        <f>YEAR(financeData[[#This Row],[Date]])</f>
        <v>2024</v>
      </c>
    </row>
    <row r="411" spans="1:11" x14ac:dyDescent="0.3">
      <c r="A411" s="2">
        <v>45377.765027322399</v>
      </c>
      <c r="B411" t="s">
        <v>10</v>
      </c>
      <c r="C411" t="s">
        <v>18</v>
      </c>
      <c r="D411" t="s">
        <v>24</v>
      </c>
      <c r="E411">
        <v>108896</v>
      </c>
      <c r="F411">
        <v>36196</v>
      </c>
      <c r="G411">
        <v>9493</v>
      </c>
      <c r="H411" t="s">
        <v>30</v>
      </c>
      <c r="I411" t="s">
        <v>34</v>
      </c>
      <c r="J411" t="s">
        <v>35</v>
      </c>
      <c r="K411">
        <f>YEAR(financeData[[#This Row],[Date]])</f>
        <v>2024</v>
      </c>
    </row>
    <row r="412" spans="1:11" x14ac:dyDescent="0.3">
      <c r="A412" s="2">
        <v>45379.759562841529</v>
      </c>
      <c r="B412" t="s">
        <v>13</v>
      </c>
      <c r="C412" t="s">
        <v>21</v>
      </c>
      <c r="D412" t="s">
        <v>23</v>
      </c>
      <c r="E412">
        <v>144999</v>
      </c>
      <c r="F412">
        <v>38735</v>
      </c>
      <c r="G412">
        <v>55085</v>
      </c>
      <c r="H412" t="s">
        <v>31</v>
      </c>
      <c r="I412" t="s">
        <v>32</v>
      </c>
      <c r="J412" t="s">
        <v>35</v>
      </c>
      <c r="K412">
        <f>YEAR(financeData[[#This Row],[Date]])</f>
        <v>2024</v>
      </c>
    </row>
    <row r="413" spans="1:11" x14ac:dyDescent="0.3">
      <c r="A413" s="2">
        <v>45381.754098360652</v>
      </c>
      <c r="B413" t="s">
        <v>13</v>
      </c>
      <c r="C413" t="s">
        <v>20</v>
      </c>
      <c r="D413" t="s">
        <v>22</v>
      </c>
      <c r="E413">
        <v>98680</v>
      </c>
      <c r="F413">
        <v>82102</v>
      </c>
      <c r="G413">
        <v>39228</v>
      </c>
      <c r="H413" t="s">
        <v>31</v>
      </c>
      <c r="I413" t="s">
        <v>34</v>
      </c>
      <c r="J413" t="s">
        <v>35</v>
      </c>
      <c r="K413">
        <f>YEAR(financeData[[#This Row],[Date]])</f>
        <v>2024</v>
      </c>
    </row>
    <row r="414" spans="1:11" x14ac:dyDescent="0.3">
      <c r="A414" s="2">
        <v>45383.748633879783</v>
      </c>
      <c r="B414" t="s">
        <v>11</v>
      </c>
      <c r="C414" t="s">
        <v>18</v>
      </c>
      <c r="D414" t="s">
        <v>23</v>
      </c>
      <c r="E414">
        <v>101546</v>
      </c>
      <c r="F414">
        <v>81578</v>
      </c>
      <c r="G414">
        <v>84676</v>
      </c>
      <c r="H414" t="s">
        <v>31</v>
      </c>
      <c r="I414" t="s">
        <v>34</v>
      </c>
      <c r="J414" t="s">
        <v>35</v>
      </c>
      <c r="K414">
        <f>YEAR(financeData[[#This Row],[Date]])</f>
        <v>2024</v>
      </c>
    </row>
    <row r="415" spans="1:11" x14ac:dyDescent="0.3">
      <c r="A415" s="2">
        <v>45385.743169398898</v>
      </c>
      <c r="B415" t="s">
        <v>10</v>
      </c>
      <c r="C415" t="s">
        <v>15</v>
      </c>
      <c r="D415" t="s">
        <v>24</v>
      </c>
      <c r="E415">
        <v>84973</v>
      </c>
      <c r="F415">
        <v>27498</v>
      </c>
      <c r="G415">
        <v>56875</v>
      </c>
      <c r="H415" t="s">
        <v>31</v>
      </c>
      <c r="I415" t="s">
        <v>34</v>
      </c>
      <c r="J415" t="s">
        <v>36</v>
      </c>
      <c r="K415">
        <f>YEAR(financeData[[#This Row],[Date]])</f>
        <v>2024</v>
      </c>
    </row>
    <row r="416" spans="1:11" x14ac:dyDescent="0.3">
      <c r="A416" s="2">
        <v>45387.737704918043</v>
      </c>
      <c r="B416" t="s">
        <v>14</v>
      </c>
      <c r="C416" t="s">
        <v>18</v>
      </c>
      <c r="D416" t="s">
        <v>27</v>
      </c>
      <c r="E416">
        <v>68449</v>
      </c>
      <c r="F416">
        <v>78865</v>
      </c>
      <c r="G416">
        <v>36655</v>
      </c>
      <c r="H416" t="s">
        <v>30</v>
      </c>
      <c r="I416" t="s">
        <v>33</v>
      </c>
      <c r="J416" t="s">
        <v>36</v>
      </c>
      <c r="K416">
        <f>YEAR(financeData[[#This Row],[Date]])</f>
        <v>2024</v>
      </c>
    </row>
    <row r="417" spans="1:11" x14ac:dyDescent="0.3">
      <c r="A417" s="2">
        <v>45389.732240437152</v>
      </c>
      <c r="B417" t="s">
        <v>11</v>
      </c>
      <c r="C417" t="s">
        <v>18</v>
      </c>
      <c r="D417" t="s">
        <v>25</v>
      </c>
      <c r="E417">
        <v>114834</v>
      </c>
      <c r="F417">
        <v>33656</v>
      </c>
      <c r="G417">
        <v>48472</v>
      </c>
      <c r="H417" t="s">
        <v>31</v>
      </c>
      <c r="I417" t="s">
        <v>32</v>
      </c>
      <c r="J417" t="s">
        <v>35</v>
      </c>
      <c r="K417">
        <f>YEAR(financeData[[#This Row],[Date]])</f>
        <v>2024</v>
      </c>
    </row>
    <row r="418" spans="1:11" x14ac:dyDescent="0.3">
      <c r="A418" s="2">
        <v>45391.726775956267</v>
      </c>
      <c r="B418" t="s">
        <v>13</v>
      </c>
      <c r="C418" t="s">
        <v>18</v>
      </c>
      <c r="D418" t="s">
        <v>22</v>
      </c>
      <c r="E418">
        <v>30537</v>
      </c>
      <c r="F418">
        <v>69695</v>
      </c>
      <c r="G418">
        <v>54437</v>
      </c>
      <c r="H418" t="s">
        <v>29</v>
      </c>
      <c r="I418" t="s">
        <v>34</v>
      </c>
      <c r="J418" t="s">
        <v>36</v>
      </c>
      <c r="K418">
        <f>YEAR(financeData[[#This Row],[Date]])</f>
        <v>2024</v>
      </c>
    </row>
    <row r="419" spans="1:11" x14ac:dyDescent="0.3">
      <c r="A419" s="2">
        <v>45393.721311475398</v>
      </c>
      <c r="B419" t="s">
        <v>13</v>
      </c>
      <c r="C419" t="s">
        <v>21</v>
      </c>
      <c r="D419" t="s">
        <v>25</v>
      </c>
      <c r="E419">
        <v>82576</v>
      </c>
      <c r="F419">
        <v>39900</v>
      </c>
      <c r="G419">
        <v>54416</v>
      </c>
      <c r="H419" t="s">
        <v>31</v>
      </c>
      <c r="I419" t="s">
        <v>32</v>
      </c>
      <c r="J419" t="s">
        <v>35</v>
      </c>
      <c r="K419">
        <f>YEAR(financeData[[#This Row],[Date]])</f>
        <v>2024</v>
      </c>
    </row>
    <row r="420" spans="1:11" x14ac:dyDescent="0.3">
      <c r="A420" s="2">
        <v>45395.715846994528</v>
      </c>
      <c r="B420" t="s">
        <v>11</v>
      </c>
      <c r="C420" t="s">
        <v>21</v>
      </c>
      <c r="D420" t="s">
        <v>24</v>
      </c>
      <c r="E420">
        <v>112522</v>
      </c>
      <c r="F420">
        <v>86899</v>
      </c>
      <c r="G420">
        <v>64711</v>
      </c>
      <c r="H420" t="s">
        <v>30</v>
      </c>
      <c r="I420" t="s">
        <v>34</v>
      </c>
      <c r="J420" t="s">
        <v>35</v>
      </c>
      <c r="K420">
        <f>YEAR(financeData[[#This Row],[Date]])</f>
        <v>2024</v>
      </c>
    </row>
    <row r="421" spans="1:11" x14ac:dyDescent="0.3">
      <c r="A421" s="2">
        <v>45397.710382513658</v>
      </c>
      <c r="B421" t="s">
        <v>10</v>
      </c>
      <c r="C421" t="s">
        <v>19</v>
      </c>
      <c r="D421" t="s">
        <v>22</v>
      </c>
      <c r="E421">
        <v>27612</v>
      </c>
      <c r="F421">
        <v>49701</v>
      </c>
      <c r="G421">
        <v>11816</v>
      </c>
      <c r="H421" t="s">
        <v>31</v>
      </c>
      <c r="I421" t="s">
        <v>32</v>
      </c>
      <c r="J421" t="s">
        <v>36</v>
      </c>
      <c r="K421">
        <f>YEAR(financeData[[#This Row],[Date]])</f>
        <v>2024</v>
      </c>
    </row>
    <row r="422" spans="1:11" x14ac:dyDescent="0.3">
      <c r="A422" s="2">
        <v>45399.704918032781</v>
      </c>
      <c r="B422" t="s">
        <v>13</v>
      </c>
      <c r="C422" t="s">
        <v>21</v>
      </c>
      <c r="D422" t="s">
        <v>23</v>
      </c>
      <c r="E422">
        <v>11471</v>
      </c>
      <c r="F422">
        <v>21033</v>
      </c>
      <c r="G422">
        <v>82175</v>
      </c>
      <c r="H422" t="s">
        <v>29</v>
      </c>
      <c r="I422" t="s">
        <v>32</v>
      </c>
      <c r="J422" t="s">
        <v>36</v>
      </c>
      <c r="K422">
        <f>YEAR(financeData[[#This Row],[Date]])</f>
        <v>2024</v>
      </c>
    </row>
    <row r="423" spans="1:11" x14ac:dyDescent="0.3">
      <c r="A423" s="2">
        <v>45401.699453551912</v>
      </c>
      <c r="B423" t="s">
        <v>10</v>
      </c>
      <c r="C423" t="s">
        <v>15</v>
      </c>
      <c r="D423" t="s">
        <v>26</v>
      </c>
      <c r="E423">
        <v>36348</v>
      </c>
      <c r="F423">
        <v>12805</v>
      </c>
      <c r="G423">
        <v>69307</v>
      </c>
      <c r="H423" t="s">
        <v>30</v>
      </c>
      <c r="I423" t="s">
        <v>34</v>
      </c>
      <c r="J423" t="s">
        <v>35</v>
      </c>
      <c r="K423">
        <f>YEAR(financeData[[#This Row],[Date]])</f>
        <v>2024</v>
      </c>
    </row>
    <row r="424" spans="1:11" x14ac:dyDescent="0.3">
      <c r="A424" s="2">
        <v>45403.693989071027</v>
      </c>
      <c r="B424" t="s">
        <v>13</v>
      </c>
      <c r="C424" t="s">
        <v>15</v>
      </c>
      <c r="D424" t="s">
        <v>25</v>
      </c>
      <c r="E424">
        <v>6177</v>
      </c>
      <c r="F424">
        <v>37851</v>
      </c>
      <c r="G424">
        <v>117728</v>
      </c>
      <c r="H424" t="s">
        <v>30</v>
      </c>
      <c r="I424" t="s">
        <v>33</v>
      </c>
      <c r="J424" t="s">
        <v>35</v>
      </c>
      <c r="K424">
        <f>YEAR(financeData[[#This Row],[Date]])</f>
        <v>2024</v>
      </c>
    </row>
    <row r="425" spans="1:11" x14ac:dyDescent="0.3">
      <c r="A425" s="2">
        <v>45405.688524590158</v>
      </c>
      <c r="B425" t="s">
        <v>13</v>
      </c>
      <c r="C425" t="s">
        <v>21</v>
      </c>
      <c r="D425" t="s">
        <v>22</v>
      </c>
      <c r="E425">
        <v>140832</v>
      </c>
      <c r="F425">
        <v>28832</v>
      </c>
      <c r="G425">
        <v>51733</v>
      </c>
      <c r="H425" t="s">
        <v>29</v>
      </c>
      <c r="I425" t="s">
        <v>32</v>
      </c>
      <c r="J425" t="s">
        <v>36</v>
      </c>
      <c r="K425">
        <f>YEAR(financeData[[#This Row],[Date]])</f>
        <v>2024</v>
      </c>
    </row>
    <row r="426" spans="1:11" x14ac:dyDescent="0.3">
      <c r="A426" s="2">
        <v>45407.683060109281</v>
      </c>
      <c r="B426" t="s">
        <v>12</v>
      </c>
      <c r="C426" t="s">
        <v>17</v>
      </c>
      <c r="D426" t="s">
        <v>25</v>
      </c>
      <c r="E426">
        <v>37779</v>
      </c>
      <c r="F426">
        <v>65437</v>
      </c>
      <c r="G426">
        <v>100028</v>
      </c>
      <c r="H426" t="s">
        <v>29</v>
      </c>
      <c r="I426" t="s">
        <v>33</v>
      </c>
      <c r="J426" t="s">
        <v>35</v>
      </c>
      <c r="K426">
        <f>YEAR(financeData[[#This Row],[Date]])</f>
        <v>2024</v>
      </c>
    </row>
    <row r="427" spans="1:11" x14ac:dyDescent="0.3">
      <c r="A427" s="2">
        <v>45409.677595628411</v>
      </c>
      <c r="B427" t="s">
        <v>13</v>
      </c>
      <c r="C427" t="s">
        <v>20</v>
      </c>
      <c r="D427" t="s">
        <v>22</v>
      </c>
      <c r="E427">
        <v>26636</v>
      </c>
      <c r="F427">
        <v>15944</v>
      </c>
      <c r="G427">
        <v>16240</v>
      </c>
      <c r="H427" t="s">
        <v>29</v>
      </c>
      <c r="I427" t="s">
        <v>33</v>
      </c>
      <c r="J427" t="s">
        <v>36</v>
      </c>
      <c r="K427">
        <f>YEAR(financeData[[#This Row],[Date]])</f>
        <v>2024</v>
      </c>
    </row>
    <row r="428" spans="1:11" x14ac:dyDescent="0.3">
      <c r="A428" s="2">
        <v>45411.672131147527</v>
      </c>
      <c r="B428" t="s">
        <v>14</v>
      </c>
      <c r="C428" t="s">
        <v>21</v>
      </c>
      <c r="D428" t="s">
        <v>27</v>
      </c>
      <c r="E428">
        <v>86889</v>
      </c>
      <c r="F428">
        <v>21873</v>
      </c>
      <c r="G428">
        <v>103234</v>
      </c>
      <c r="H428" t="s">
        <v>29</v>
      </c>
      <c r="I428" t="s">
        <v>34</v>
      </c>
      <c r="J428" t="s">
        <v>35</v>
      </c>
      <c r="K428">
        <f>YEAR(financeData[[#This Row],[Date]])</f>
        <v>2024</v>
      </c>
    </row>
    <row r="429" spans="1:11" x14ac:dyDescent="0.3">
      <c r="A429" s="2">
        <v>45413.666666666657</v>
      </c>
      <c r="B429" t="s">
        <v>11</v>
      </c>
      <c r="C429" t="s">
        <v>18</v>
      </c>
      <c r="D429" t="s">
        <v>23</v>
      </c>
      <c r="E429">
        <v>58551</v>
      </c>
      <c r="F429">
        <v>42372</v>
      </c>
      <c r="G429">
        <v>97493</v>
      </c>
      <c r="H429" t="s">
        <v>29</v>
      </c>
      <c r="I429" t="s">
        <v>34</v>
      </c>
      <c r="J429" t="s">
        <v>35</v>
      </c>
      <c r="K429">
        <f>YEAR(financeData[[#This Row],[Date]])</f>
        <v>2024</v>
      </c>
    </row>
    <row r="430" spans="1:11" x14ac:dyDescent="0.3">
      <c r="A430" s="2">
        <v>45415.661202185787</v>
      </c>
      <c r="B430" t="s">
        <v>11</v>
      </c>
      <c r="C430" t="s">
        <v>16</v>
      </c>
      <c r="D430" t="s">
        <v>25</v>
      </c>
      <c r="E430">
        <v>147628</v>
      </c>
      <c r="F430">
        <v>91464</v>
      </c>
      <c r="G430">
        <v>103344</v>
      </c>
      <c r="H430" t="s">
        <v>30</v>
      </c>
      <c r="I430" t="s">
        <v>34</v>
      </c>
      <c r="J430" t="s">
        <v>36</v>
      </c>
      <c r="K430">
        <f>YEAR(financeData[[#This Row],[Date]])</f>
        <v>2024</v>
      </c>
    </row>
    <row r="431" spans="1:11" x14ac:dyDescent="0.3">
      <c r="A431" s="2">
        <v>45417.65573770491</v>
      </c>
      <c r="B431" t="s">
        <v>10</v>
      </c>
      <c r="C431" t="s">
        <v>20</v>
      </c>
      <c r="D431" t="s">
        <v>26</v>
      </c>
      <c r="E431">
        <v>147635</v>
      </c>
      <c r="F431">
        <v>17379</v>
      </c>
      <c r="G431">
        <v>76363</v>
      </c>
      <c r="H431" t="s">
        <v>30</v>
      </c>
      <c r="I431" t="s">
        <v>32</v>
      </c>
      <c r="J431" t="s">
        <v>36</v>
      </c>
      <c r="K431">
        <f>YEAR(financeData[[#This Row],[Date]])</f>
        <v>2024</v>
      </c>
    </row>
    <row r="432" spans="1:11" x14ac:dyDescent="0.3">
      <c r="A432" s="2">
        <v>45419.650273224041</v>
      </c>
      <c r="B432" t="s">
        <v>13</v>
      </c>
      <c r="C432" t="s">
        <v>20</v>
      </c>
      <c r="D432" t="s">
        <v>26</v>
      </c>
      <c r="E432">
        <v>51819</v>
      </c>
      <c r="F432">
        <v>38751</v>
      </c>
      <c r="G432">
        <v>37762</v>
      </c>
      <c r="H432" t="s">
        <v>31</v>
      </c>
      <c r="I432" t="s">
        <v>34</v>
      </c>
      <c r="J432" t="s">
        <v>36</v>
      </c>
      <c r="K432">
        <f>YEAR(financeData[[#This Row],[Date]])</f>
        <v>2024</v>
      </c>
    </row>
    <row r="433" spans="1:11" x14ac:dyDescent="0.3">
      <c r="A433" s="2">
        <v>45421.644808743164</v>
      </c>
      <c r="B433" t="s">
        <v>14</v>
      </c>
      <c r="C433" t="s">
        <v>15</v>
      </c>
      <c r="D433" t="s">
        <v>24</v>
      </c>
      <c r="E433">
        <v>78770</v>
      </c>
      <c r="F433">
        <v>91822</v>
      </c>
      <c r="G433">
        <v>13259</v>
      </c>
      <c r="H433" t="s">
        <v>31</v>
      </c>
      <c r="I433" t="s">
        <v>34</v>
      </c>
      <c r="J433" t="s">
        <v>36</v>
      </c>
      <c r="K433">
        <f>YEAR(financeData[[#This Row],[Date]])</f>
        <v>2024</v>
      </c>
    </row>
    <row r="434" spans="1:11" x14ac:dyDescent="0.3">
      <c r="A434" s="2">
        <v>45423.639344262287</v>
      </c>
      <c r="B434" t="s">
        <v>10</v>
      </c>
      <c r="C434" t="s">
        <v>20</v>
      </c>
      <c r="D434" t="s">
        <v>22</v>
      </c>
      <c r="E434">
        <v>83714</v>
      </c>
      <c r="F434">
        <v>7110</v>
      </c>
      <c r="G434">
        <v>55139</v>
      </c>
      <c r="H434" t="s">
        <v>28</v>
      </c>
      <c r="I434" t="s">
        <v>32</v>
      </c>
      <c r="J434" t="s">
        <v>36</v>
      </c>
      <c r="K434">
        <f>YEAR(financeData[[#This Row],[Date]])</f>
        <v>2024</v>
      </c>
    </row>
    <row r="435" spans="1:11" x14ac:dyDescent="0.3">
      <c r="A435" s="2">
        <v>45425.63387978141</v>
      </c>
      <c r="B435" t="s">
        <v>12</v>
      </c>
      <c r="C435" t="s">
        <v>21</v>
      </c>
      <c r="D435" t="s">
        <v>25</v>
      </c>
      <c r="E435">
        <v>29596</v>
      </c>
      <c r="F435">
        <v>56341</v>
      </c>
      <c r="G435">
        <v>19849</v>
      </c>
      <c r="H435" t="s">
        <v>31</v>
      </c>
      <c r="I435" t="s">
        <v>32</v>
      </c>
      <c r="J435" t="s">
        <v>36</v>
      </c>
      <c r="K435">
        <f>YEAR(financeData[[#This Row],[Date]])</f>
        <v>2024</v>
      </c>
    </row>
    <row r="436" spans="1:11" x14ac:dyDescent="0.3">
      <c r="A436" s="2">
        <v>45427.628415300547</v>
      </c>
      <c r="B436" t="s">
        <v>10</v>
      </c>
      <c r="C436" t="s">
        <v>18</v>
      </c>
      <c r="D436" t="s">
        <v>24</v>
      </c>
      <c r="E436">
        <v>69106</v>
      </c>
      <c r="F436">
        <v>14087</v>
      </c>
      <c r="G436">
        <v>86768</v>
      </c>
      <c r="H436" t="s">
        <v>31</v>
      </c>
      <c r="I436" t="s">
        <v>34</v>
      </c>
      <c r="J436" t="s">
        <v>36</v>
      </c>
      <c r="K436">
        <f>YEAR(financeData[[#This Row],[Date]])</f>
        <v>2024</v>
      </c>
    </row>
    <row r="437" spans="1:11" x14ac:dyDescent="0.3">
      <c r="A437" s="2">
        <v>45429.622950819663</v>
      </c>
      <c r="B437" t="s">
        <v>10</v>
      </c>
      <c r="C437" t="s">
        <v>18</v>
      </c>
      <c r="D437" t="s">
        <v>25</v>
      </c>
      <c r="E437">
        <v>64182</v>
      </c>
      <c r="F437">
        <v>25762</v>
      </c>
      <c r="G437">
        <v>111108</v>
      </c>
      <c r="H437" t="s">
        <v>29</v>
      </c>
      <c r="I437" t="s">
        <v>34</v>
      </c>
      <c r="J437" t="s">
        <v>35</v>
      </c>
      <c r="K437">
        <f>YEAR(financeData[[#This Row],[Date]])</f>
        <v>2024</v>
      </c>
    </row>
    <row r="438" spans="1:11" x14ac:dyDescent="0.3">
      <c r="A438" s="2">
        <v>45431.617486338793</v>
      </c>
      <c r="B438" t="s">
        <v>13</v>
      </c>
      <c r="C438" t="s">
        <v>19</v>
      </c>
      <c r="D438" t="s">
        <v>22</v>
      </c>
      <c r="E438">
        <v>92163</v>
      </c>
      <c r="F438">
        <v>84617</v>
      </c>
      <c r="G438">
        <v>94709</v>
      </c>
      <c r="H438" t="s">
        <v>29</v>
      </c>
      <c r="I438" t="s">
        <v>34</v>
      </c>
      <c r="J438" t="s">
        <v>35</v>
      </c>
      <c r="K438">
        <f>YEAR(financeData[[#This Row],[Date]])</f>
        <v>2024</v>
      </c>
    </row>
    <row r="439" spans="1:11" x14ac:dyDescent="0.3">
      <c r="A439" s="2">
        <v>45433.612021857924</v>
      </c>
      <c r="B439" t="s">
        <v>12</v>
      </c>
      <c r="C439" t="s">
        <v>18</v>
      </c>
      <c r="D439" t="s">
        <v>26</v>
      </c>
      <c r="E439">
        <v>44310</v>
      </c>
      <c r="F439">
        <v>11596</v>
      </c>
      <c r="G439">
        <v>59869</v>
      </c>
      <c r="H439" t="s">
        <v>31</v>
      </c>
      <c r="I439" t="s">
        <v>34</v>
      </c>
      <c r="J439" t="s">
        <v>35</v>
      </c>
      <c r="K439">
        <f>YEAR(financeData[[#This Row],[Date]])</f>
        <v>2024</v>
      </c>
    </row>
    <row r="440" spans="1:11" x14ac:dyDescent="0.3">
      <c r="A440" s="2">
        <v>45435.606557377047</v>
      </c>
      <c r="B440" t="s">
        <v>10</v>
      </c>
      <c r="C440" t="s">
        <v>18</v>
      </c>
      <c r="D440" t="s">
        <v>27</v>
      </c>
      <c r="E440">
        <v>61088</v>
      </c>
      <c r="F440">
        <v>20313</v>
      </c>
      <c r="G440">
        <v>68095</v>
      </c>
      <c r="H440" t="s">
        <v>28</v>
      </c>
      <c r="I440" t="s">
        <v>33</v>
      </c>
      <c r="J440" t="s">
        <v>36</v>
      </c>
      <c r="K440">
        <f>YEAR(financeData[[#This Row],[Date]])</f>
        <v>2024</v>
      </c>
    </row>
    <row r="441" spans="1:11" x14ac:dyDescent="0.3">
      <c r="A441" s="2">
        <v>45437.60109289617</v>
      </c>
      <c r="B441" t="s">
        <v>14</v>
      </c>
      <c r="C441" t="s">
        <v>15</v>
      </c>
      <c r="D441" t="s">
        <v>26</v>
      </c>
      <c r="E441">
        <v>133803</v>
      </c>
      <c r="F441">
        <v>68549</v>
      </c>
      <c r="G441">
        <v>75910</v>
      </c>
      <c r="H441" t="s">
        <v>29</v>
      </c>
      <c r="I441" t="s">
        <v>33</v>
      </c>
      <c r="J441" t="s">
        <v>36</v>
      </c>
      <c r="K441">
        <f>YEAR(financeData[[#This Row],[Date]])</f>
        <v>2024</v>
      </c>
    </row>
    <row r="442" spans="1:11" x14ac:dyDescent="0.3">
      <c r="A442" s="2">
        <v>45439.595628415293</v>
      </c>
      <c r="B442" t="s">
        <v>14</v>
      </c>
      <c r="C442" t="s">
        <v>18</v>
      </c>
      <c r="D442" t="s">
        <v>24</v>
      </c>
      <c r="E442">
        <v>144978</v>
      </c>
      <c r="F442">
        <v>25705</v>
      </c>
      <c r="G442">
        <v>91710</v>
      </c>
      <c r="H442" t="s">
        <v>31</v>
      </c>
      <c r="I442" t="s">
        <v>34</v>
      </c>
      <c r="J442" t="s">
        <v>36</v>
      </c>
      <c r="K442">
        <f>YEAR(financeData[[#This Row],[Date]])</f>
        <v>2024</v>
      </c>
    </row>
    <row r="443" spans="1:11" x14ac:dyDescent="0.3">
      <c r="A443" s="2">
        <v>45441.590163934423</v>
      </c>
      <c r="B443" t="s">
        <v>11</v>
      </c>
      <c r="C443" t="s">
        <v>19</v>
      </c>
      <c r="D443" t="s">
        <v>23</v>
      </c>
      <c r="E443">
        <v>41914</v>
      </c>
      <c r="F443">
        <v>69364</v>
      </c>
      <c r="G443">
        <v>28567</v>
      </c>
      <c r="H443" t="s">
        <v>31</v>
      </c>
      <c r="I443" t="s">
        <v>33</v>
      </c>
      <c r="J443" t="s">
        <v>35</v>
      </c>
      <c r="K443">
        <f>YEAR(financeData[[#This Row],[Date]])</f>
        <v>2024</v>
      </c>
    </row>
    <row r="444" spans="1:11" x14ac:dyDescent="0.3">
      <c r="A444" s="2">
        <v>45443.584699453539</v>
      </c>
      <c r="B444" t="s">
        <v>12</v>
      </c>
      <c r="C444" t="s">
        <v>16</v>
      </c>
      <c r="D444" t="s">
        <v>27</v>
      </c>
      <c r="E444">
        <v>115350</v>
      </c>
      <c r="F444">
        <v>75445</v>
      </c>
      <c r="G444">
        <v>40292</v>
      </c>
      <c r="H444" t="s">
        <v>30</v>
      </c>
      <c r="I444" t="s">
        <v>32</v>
      </c>
      <c r="J444" t="s">
        <v>36</v>
      </c>
      <c r="K444">
        <f>YEAR(financeData[[#This Row],[Date]])</f>
        <v>2024</v>
      </c>
    </row>
    <row r="445" spans="1:11" x14ac:dyDescent="0.3">
      <c r="A445" s="2">
        <v>45445.579234972683</v>
      </c>
      <c r="B445" t="s">
        <v>12</v>
      </c>
      <c r="C445" t="s">
        <v>21</v>
      </c>
      <c r="D445" t="s">
        <v>24</v>
      </c>
      <c r="E445">
        <v>50379</v>
      </c>
      <c r="F445">
        <v>80645</v>
      </c>
      <c r="G445">
        <v>79813</v>
      </c>
      <c r="H445" t="s">
        <v>28</v>
      </c>
      <c r="I445" t="s">
        <v>33</v>
      </c>
      <c r="J445" t="s">
        <v>36</v>
      </c>
      <c r="K445">
        <f>YEAR(financeData[[#This Row],[Date]])</f>
        <v>2024</v>
      </c>
    </row>
    <row r="446" spans="1:11" x14ac:dyDescent="0.3">
      <c r="A446" s="2">
        <v>45447.573770491792</v>
      </c>
      <c r="B446" t="s">
        <v>11</v>
      </c>
      <c r="C446" t="s">
        <v>15</v>
      </c>
      <c r="D446" t="s">
        <v>22</v>
      </c>
      <c r="E446">
        <v>51413</v>
      </c>
      <c r="F446">
        <v>4023</v>
      </c>
      <c r="G446">
        <v>102136</v>
      </c>
      <c r="H446" t="s">
        <v>30</v>
      </c>
      <c r="I446" t="s">
        <v>33</v>
      </c>
      <c r="J446" t="s">
        <v>35</v>
      </c>
      <c r="K446">
        <f>YEAR(financeData[[#This Row],[Date]])</f>
        <v>2024</v>
      </c>
    </row>
    <row r="447" spans="1:11" x14ac:dyDescent="0.3">
      <c r="A447" s="2">
        <v>45449.56830601093</v>
      </c>
      <c r="B447" t="s">
        <v>10</v>
      </c>
      <c r="C447" t="s">
        <v>16</v>
      </c>
      <c r="D447" t="s">
        <v>27</v>
      </c>
      <c r="E447">
        <v>142084</v>
      </c>
      <c r="F447">
        <v>61796</v>
      </c>
      <c r="G447">
        <v>56631</v>
      </c>
      <c r="H447" t="s">
        <v>28</v>
      </c>
      <c r="I447" t="s">
        <v>34</v>
      </c>
      <c r="J447" t="s">
        <v>36</v>
      </c>
      <c r="K447">
        <f>YEAR(financeData[[#This Row],[Date]])</f>
        <v>2024</v>
      </c>
    </row>
    <row r="448" spans="1:11" x14ac:dyDescent="0.3">
      <c r="A448" s="2">
        <v>45451.562841530053</v>
      </c>
      <c r="B448" t="s">
        <v>12</v>
      </c>
      <c r="C448" t="s">
        <v>15</v>
      </c>
      <c r="D448" t="s">
        <v>24</v>
      </c>
      <c r="E448">
        <v>12151</v>
      </c>
      <c r="F448">
        <v>82073</v>
      </c>
      <c r="G448">
        <v>14885</v>
      </c>
      <c r="H448" t="s">
        <v>29</v>
      </c>
      <c r="I448" t="s">
        <v>33</v>
      </c>
      <c r="J448" t="s">
        <v>35</v>
      </c>
      <c r="K448">
        <f>YEAR(financeData[[#This Row],[Date]])</f>
        <v>2024</v>
      </c>
    </row>
    <row r="449" spans="1:11" x14ac:dyDescent="0.3">
      <c r="A449" s="2">
        <v>45453.557377049183</v>
      </c>
      <c r="B449" t="s">
        <v>14</v>
      </c>
      <c r="C449" t="s">
        <v>17</v>
      </c>
      <c r="D449" t="s">
        <v>22</v>
      </c>
      <c r="E449">
        <v>62716</v>
      </c>
      <c r="F449">
        <v>94197</v>
      </c>
      <c r="G449">
        <v>64659</v>
      </c>
      <c r="H449" t="s">
        <v>28</v>
      </c>
      <c r="I449" t="s">
        <v>33</v>
      </c>
      <c r="J449" t="s">
        <v>35</v>
      </c>
      <c r="K449">
        <f>YEAR(financeData[[#This Row],[Date]])</f>
        <v>2024</v>
      </c>
    </row>
    <row r="450" spans="1:11" x14ac:dyDescent="0.3">
      <c r="A450" s="2">
        <v>45455.551912568299</v>
      </c>
      <c r="B450" t="s">
        <v>14</v>
      </c>
      <c r="C450" t="s">
        <v>20</v>
      </c>
      <c r="D450" t="s">
        <v>26</v>
      </c>
      <c r="E450">
        <v>98747</v>
      </c>
      <c r="F450">
        <v>66429</v>
      </c>
      <c r="G450">
        <v>59306</v>
      </c>
      <c r="H450" t="s">
        <v>31</v>
      </c>
      <c r="I450" t="s">
        <v>33</v>
      </c>
      <c r="J450" t="s">
        <v>36</v>
      </c>
      <c r="K450">
        <f>YEAR(financeData[[#This Row],[Date]])</f>
        <v>2024</v>
      </c>
    </row>
    <row r="451" spans="1:11" x14ac:dyDescent="0.3">
      <c r="A451" s="2">
        <v>45457.546448087429</v>
      </c>
      <c r="B451" t="s">
        <v>13</v>
      </c>
      <c r="C451" t="s">
        <v>17</v>
      </c>
      <c r="D451" t="s">
        <v>23</v>
      </c>
      <c r="E451">
        <v>149539</v>
      </c>
      <c r="F451">
        <v>63627</v>
      </c>
      <c r="G451">
        <v>71314</v>
      </c>
      <c r="H451" t="s">
        <v>31</v>
      </c>
      <c r="I451" t="s">
        <v>33</v>
      </c>
      <c r="J451" t="s">
        <v>36</v>
      </c>
      <c r="K451">
        <f>YEAR(financeData[[#This Row],[Date]])</f>
        <v>2024</v>
      </c>
    </row>
    <row r="452" spans="1:11" x14ac:dyDescent="0.3">
      <c r="A452" s="2">
        <v>45459.540983606552</v>
      </c>
      <c r="B452" t="s">
        <v>12</v>
      </c>
      <c r="C452" t="s">
        <v>18</v>
      </c>
      <c r="D452" t="s">
        <v>22</v>
      </c>
      <c r="E452">
        <v>126999</v>
      </c>
      <c r="F452">
        <v>35848</v>
      </c>
      <c r="G452">
        <v>70087</v>
      </c>
      <c r="H452" t="s">
        <v>28</v>
      </c>
      <c r="I452" t="s">
        <v>32</v>
      </c>
      <c r="J452" t="s">
        <v>36</v>
      </c>
      <c r="K452">
        <f>YEAR(financeData[[#This Row],[Date]])</f>
        <v>2024</v>
      </c>
    </row>
    <row r="453" spans="1:11" x14ac:dyDescent="0.3">
      <c r="A453" s="2">
        <v>45461.535519125682</v>
      </c>
      <c r="B453" t="s">
        <v>10</v>
      </c>
      <c r="C453" t="s">
        <v>16</v>
      </c>
      <c r="D453" t="s">
        <v>25</v>
      </c>
      <c r="E453">
        <v>119793</v>
      </c>
      <c r="F453">
        <v>39804</v>
      </c>
      <c r="G453">
        <v>34165</v>
      </c>
      <c r="H453" t="s">
        <v>28</v>
      </c>
      <c r="I453" t="s">
        <v>34</v>
      </c>
      <c r="J453" t="s">
        <v>35</v>
      </c>
      <c r="K453">
        <f>YEAR(financeData[[#This Row],[Date]])</f>
        <v>2024</v>
      </c>
    </row>
    <row r="454" spans="1:11" x14ac:dyDescent="0.3">
      <c r="A454" s="2">
        <v>45463.530054644812</v>
      </c>
      <c r="B454" t="s">
        <v>11</v>
      </c>
      <c r="C454" t="s">
        <v>18</v>
      </c>
      <c r="D454" t="s">
        <v>22</v>
      </c>
      <c r="E454">
        <v>113177</v>
      </c>
      <c r="F454">
        <v>17379</v>
      </c>
      <c r="G454">
        <v>63929</v>
      </c>
      <c r="H454" t="s">
        <v>28</v>
      </c>
      <c r="I454" t="s">
        <v>34</v>
      </c>
      <c r="J454" t="s">
        <v>35</v>
      </c>
      <c r="K454">
        <f>YEAR(financeData[[#This Row],[Date]])</f>
        <v>2024</v>
      </c>
    </row>
    <row r="455" spans="1:11" x14ac:dyDescent="0.3">
      <c r="A455" s="2">
        <v>45465.524590163921</v>
      </c>
      <c r="B455" t="s">
        <v>11</v>
      </c>
      <c r="C455" t="s">
        <v>20</v>
      </c>
      <c r="D455" t="s">
        <v>22</v>
      </c>
      <c r="E455">
        <v>17289</v>
      </c>
      <c r="F455">
        <v>61664</v>
      </c>
      <c r="G455">
        <v>72028</v>
      </c>
      <c r="H455" t="s">
        <v>30</v>
      </c>
      <c r="I455" t="s">
        <v>32</v>
      </c>
      <c r="J455" t="s">
        <v>35</v>
      </c>
      <c r="K455">
        <f>YEAR(financeData[[#This Row],[Date]])</f>
        <v>2024</v>
      </c>
    </row>
    <row r="456" spans="1:11" x14ac:dyDescent="0.3">
      <c r="A456" s="2">
        <v>45467.519125683059</v>
      </c>
      <c r="B456" t="s">
        <v>10</v>
      </c>
      <c r="C456" t="s">
        <v>15</v>
      </c>
      <c r="D456" t="s">
        <v>23</v>
      </c>
      <c r="E456">
        <v>91365</v>
      </c>
      <c r="F456">
        <v>29766</v>
      </c>
      <c r="G456">
        <v>100998</v>
      </c>
      <c r="H456" t="s">
        <v>28</v>
      </c>
      <c r="I456" t="s">
        <v>33</v>
      </c>
      <c r="J456" t="s">
        <v>36</v>
      </c>
      <c r="K456">
        <f>YEAR(financeData[[#This Row],[Date]])</f>
        <v>2024</v>
      </c>
    </row>
    <row r="457" spans="1:11" x14ac:dyDescent="0.3">
      <c r="A457" s="2">
        <v>45469.513661202167</v>
      </c>
      <c r="B457" t="s">
        <v>13</v>
      </c>
      <c r="C457" t="s">
        <v>20</v>
      </c>
      <c r="D457" t="s">
        <v>25</v>
      </c>
      <c r="E457">
        <v>119014</v>
      </c>
      <c r="F457">
        <v>70099</v>
      </c>
      <c r="G457">
        <v>54812</v>
      </c>
      <c r="H457" t="s">
        <v>29</v>
      </c>
      <c r="I457" t="s">
        <v>32</v>
      </c>
      <c r="J457" t="s">
        <v>36</v>
      </c>
      <c r="K457">
        <f>YEAR(financeData[[#This Row],[Date]])</f>
        <v>2024</v>
      </c>
    </row>
    <row r="458" spans="1:11" x14ac:dyDescent="0.3">
      <c r="A458" s="2">
        <v>45471.508196721297</v>
      </c>
      <c r="B458" t="s">
        <v>11</v>
      </c>
      <c r="C458" t="s">
        <v>19</v>
      </c>
      <c r="D458" t="s">
        <v>24</v>
      </c>
      <c r="E458">
        <v>77588</v>
      </c>
      <c r="F458">
        <v>38060</v>
      </c>
      <c r="G458">
        <v>55500</v>
      </c>
      <c r="H458" t="s">
        <v>30</v>
      </c>
      <c r="I458" t="s">
        <v>33</v>
      </c>
      <c r="J458" t="s">
        <v>36</v>
      </c>
      <c r="K458">
        <f>YEAR(financeData[[#This Row],[Date]])</f>
        <v>2024</v>
      </c>
    </row>
    <row r="459" spans="1:11" x14ac:dyDescent="0.3">
      <c r="A459" s="2">
        <v>45473.502732240428</v>
      </c>
      <c r="B459" t="s">
        <v>12</v>
      </c>
      <c r="C459" t="s">
        <v>20</v>
      </c>
      <c r="D459" t="s">
        <v>24</v>
      </c>
      <c r="E459">
        <v>68646</v>
      </c>
      <c r="F459">
        <v>96733</v>
      </c>
      <c r="G459">
        <v>84151</v>
      </c>
      <c r="H459" t="s">
        <v>30</v>
      </c>
      <c r="I459" t="s">
        <v>32</v>
      </c>
      <c r="J459" t="s">
        <v>36</v>
      </c>
      <c r="K459">
        <f>YEAR(financeData[[#This Row],[Date]])</f>
        <v>2024</v>
      </c>
    </row>
    <row r="460" spans="1:11" x14ac:dyDescent="0.3">
      <c r="A460" s="2">
        <v>45475.497267759558</v>
      </c>
      <c r="B460" t="s">
        <v>13</v>
      </c>
      <c r="C460" t="s">
        <v>19</v>
      </c>
      <c r="D460" t="s">
        <v>22</v>
      </c>
      <c r="E460">
        <v>8654</v>
      </c>
      <c r="F460">
        <v>71122</v>
      </c>
      <c r="G460">
        <v>63643</v>
      </c>
      <c r="H460" t="s">
        <v>28</v>
      </c>
      <c r="I460" t="s">
        <v>34</v>
      </c>
      <c r="J460" t="s">
        <v>35</v>
      </c>
      <c r="K460">
        <f>YEAR(financeData[[#This Row],[Date]])</f>
        <v>2024</v>
      </c>
    </row>
    <row r="461" spans="1:11" x14ac:dyDescent="0.3">
      <c r="A461" s="2">
        <v>45477.491803278681</v>
      </c>
      <c r="B461" t="s">
        <v>12</v>
      </c>
      <c r="C461" t="s">
        <v>20</v>
      </c>
      <c r="D461" t="s">
        <v>25</v>
      </c>
      <c r="E461">
        <v>23743</v>
      </c>
      <c r="F461">
        <v>18087</v>
      </c>
      <c r="G461">
        <v>49900</v>
      </c>
      <c r="H461" t="s">
        <v>29</v>
      </c>
      <c r="I461" t="s">
        <v>34</v>
      </c>
      <c r="J461" t="s">
        <v>35</v>
      </c>
      <c r="K461">
        <f>YEAR(financeData[[#This Row],[Date]])</f>
        <v>2024</v>
      </c>
    </row>
    <row r="462" spans="1:11" x14ac:dyDescent="0.3">
      <c r="A462" s="2">
        <v>45479.486338797811</v>
      </c>
      <c r="B462" t="s">
        <v>14</v>
      </c>
      <c r="C462" t="s">
        <v>21</v>
      </c>
      <c r="D462" t="s">
        <v>25</v>
      </c>
      <c r="E462">
        <v>53368</v>
      </c>
      <c r="F462">
        <v>50868</v>
      </c>
      <c r="G462">
        <v>47946</v>
      </c>
      <c r="H462" t="s">
        <v>30</v>
      </c>
      <c r="I462" t="s">
        <v>34</v>
      </c>
      <c r="J462" t="s">
        <v>35</v>
      </c>
      <c r="K462">
        <f>YEAR(financeData[[#This Row],[Date]])</f>
        <v>2024</v>
      </c>
    </row>
    <row r="463" spans="1:11" x14ac:dyDescent="0.3">
      <c r="A463" s="2">
        <v>45481.480874316927</v>
      </c>
      <c r="B463" t="s">
        <v>13</v>
      </c>
      <c r="C463" t="s">
        <v>19</v>
      </c>
      <c r="D463" t="s">
        <v>23</v>
      </c>
      <c r="E463">
        <v>142513</v>
      </c>
      <c r="F463">
        <v>25225</v>
      </c>
      <c r="G463">
        <v>12851</v>
      </c>
      <c r="H463" t="s">
        <v>31</v>
      </c>
      <c r="I463" t="s">
        <v>33</v>
      </c>
      <c r="J463" t="s">
        <v>35</v>
      </c>
      <c r="K463">
        <f>YEAR(financeData[[#This Row],[Date]])</f>
        <v>2024</v>
      </c>
    </row>
    <row r="464" spans="1:11" x14ac:dyDescent="0.3">
      <c r="A464" s="2">
        <v>45483.475409836057</v>
      </c>
      <c r="B464" t="s">
        <v>11</v>
      </c>
      <c r="C464" t="s">
        <v>16</v>
      </c>
      <c r="D464" t="s">
        <v>26</v>
      </c>
      <c r="E464">
        <v>124735</v>
      </c>
      <c r="F464">
        <v>97286</v>
      </c>
      <c r="G464">
        <v>21288</v>
      </c>
      <c r="H464" t="s">
        <v>30</v>
      </c>
      <c r="I464" t="s">
        <v>33</v>
      </c>
      <c r="J464" t="s">
        <v>36</v>
      </c>
      <c r="K464">
        <f>YEAR(financeData[[#This Row],[Date]])</f>
        <v>2024</v>
      </c>
    </row>
    <row r="465" spans="1:11" x14ac:dyDescent="0.3">
      <c r="A465" s="2">
        <v>45485.469945355188</v>
      </c>
      <c r="B465" t="s">
        <v>13</v>
      </c>
      <c r="C465" t="s">
        <v>18</v>
      </c>
      <c r="D465" t="s">
        <v>24</v>
      </c>
      <c r="E465">
        <v>124891</v>
      </c>
      <c r="F465">
        <v>8643</v>
      </c>
      <c r="G465">
        <v>77692</v>
      </c>
      <c r="H465" t="s">
        <v>28</v>
      </c>
      <c r="I465" t="s">
        <v>32</v>
      </c>
      <c r="J465" t="s">
        <v>36</v>
      </c>
      <c r="K465">
        <f>YEAR(financeData[[#This Row],[Date]])</f>
        <v>2024</v>
      </c>
    </row>
    <row r="466" spans="1:11" x14ac:dyDescent="0.3">
      <c r="A466" s="2">
        <v>45487.464480874303</v>
      </c>
      <c r="B466" t="s">
        <v>13</v>
      </c>
      <c r="C466" t="s">
        <v>18</v>
      </c>
      <c r="D466" t="s">
        <v>23</v>
      </c>
      <c r="E466">
        <v>112971</v>
      </c>
      <c r="F466">
        <v>95059</v>
      </c>
      <c r="G466">
        <v>72580</v>
      </c>
      <c r="H466" t="s">
        <v>29</v>
      </c>
      <c r="I466" t="s">
        <v>32</v>
      </c>
      <c r="J466" t="s">
        <v>36</v>
      </c>
      <c r="K466">
        <f>YEAR(financeData[[#This Row],[Date]])</f>
        <v>2024</v>
      </c>
    </row>
    <row r="467" spans="1:11" x14ac:dyDescent="0.3">
      <c r="A467" s="2">
        <v>45489.459016393441</v>
      </c>
      <c r="B467" t="s">
        <v>13</v>
      </c>
      <c r="C467" t="s">
        <v>17</v>
      </c>
      <c r="D467" t="s">
        <v>27</v>
      </c>
      <c r="E467">
        <v>17149</v>
      </c>
      <c r="F467">
        <v>38727</v>
      </c>
      <c r="G467">
        <v>12368</v>
      </c>
      <c r="H467" t="s">
        <v>28</v>
      </c>
      <c r="I467" t="s">
        <v>34</v>
      </c>
      <c r="J467" t="s">
        <v>35</v>
      </c>
      <c r="K467">
        <f>YEAR(financeData[[#This Row],[Date]])</f>
        <v>2024</v>
      </c>
    </row>
    <row r="468" spans="1:11" x14ac:dyDescent="0.3">
      <c r="A468" s="2">
        <v>45491.453551912557</v>
      </c>
      <c r="B468" t="s">
        <v>13</v>
      </c>
      <c r="C468" t="s">
        <v>18</v>
      </c>
      <c r="D468" t="s">
        <v>24</v>
      </c>
      <c r="E468">
        <v>105102</v>
      </c>
      <c r="F468">
        <v>13005</v>
      </c>
      <c r="G468">
        <v>90436</v>
      </c>
      <c r="H468" t="s">
        <v>31</v>
      </c>
      <c r="I468" t="s">
        <v>33</v>
      </c>
      <c r="J468" t="s">
        <v>35</v>
      </c>
      <c r="K468">
        <f>YEAR(financeData[[#This Row],[Date]])</f>
        <v>2024</v>
      </c>
    </row>
    <row r="469" spans="1:11" x14ac:dyDescent="0.3">
      <c r="A469" s="2">
        <v>45493.448087431687</v>
      </c>
      <c r="B469" t="s">
        <v>12</v>
      </c>
      <c r="C469" t="s">
        <v>15</v>
      </c>
      <c r="D469" t="s">
        <v>23</v>
      </c>
      <c r="E469">
        <v>64189</v>
      </c>
      <c r="F469">
        <v>67697</v>
      </c>
      <c r="G469">
        <v>101136</v>
      </c>
      <c r="H469" t="s">
        <v>31</v>
      </c>
      <c r="I469" t="s">
        <v>32</v>
      </c>
      <c r="J469" t="s">
        <v>36</v>
      </c>
      <c r="K469">
        <f>YEAR(financeData[[#This Row],[Date]])</f>
        <v>2024</v>
      </c>
    </row>
    <row r="470" spans="1:11" x14ac:dyDescent="0.3">
      <c r="A470" s="2">
        <v>45495.44262295081</v>
      </c>
      <c r="B470" t="s">
        <v>14</v>
      </c>
      <c r="C470" t="s">
        <v>21</v>
      </c>
      <c r="D470" t="s">
        <v>24</v>
      </c>
      <c r="E470">
        <v>76031</v>
      </c>
      <c r="F470">
        <v>18029</v>
      </c>
      <c r="G470">
        <v>51403</v>
      </c>
      <c r="H470" t="s">
        <v>31</v>
      </c>
      <c r="I470" t="s">
        <v>33</v>
      </c>
      <c r="J470" t="s">
        <v>36</v>
      </c>
      <c r="K470">
        <f>YEAR(financeData[[#This Row],[Date]])</f>
        <v>2024</v>
      </c>
    </row>
    <row r="471" spans="1:11" x14ac:dyDescent="0.3">
      <c r="A471" s="2">
        <v>45497.43715846994</v>
      </c>
      <c r="B471" t="s">
        <v>10</v>
      </c>
      <c r="C471" t="s">
        <v>20</v>
      </c>
      <c r="D471" t="s">
        <v>26</v>
      </c>
      <c r="E471">
        <v>47668</v>
      </c>
      <c r="F471">
        <v>16226</v>
      </c>
      <c r="G471">
        <v>96170</v>
      </c>
      <c r="H471" t="s">
        <v>28</v>
      </c>
      <c r="I471" t="s">
        <v>33</v>
      </c>
      <c r="J471" t="s">
        <v>35</v>
      </c>
      <c r="K471">
        <f>YEAR(financeData[[#This Row],[Date]])</f>
        <v>2024</v>
      </c>
    </row>
    <row r="472" spans="1:11" x14ac:dyDescent="0.3">
      <c r="A472" s="2">
        <v>45499.431693989063</v>
      </c>
      <c r="B472" t="s">
        <v>13</v>
      </c>
      <c r="C472" t="s">
        <v>17</v>
      </c>
      <c r="D472" t="s">
        <v>27</v>
      </c>
      <c r="E472">
        <v>149745</v>
      </c>
      <c r="F472">
        <v>65646</v>
      </c>
      <c r="G472">
        <v>14168</v>
      </c>
      <c r="H472" t="s">
        <v>30</v>
      </c>
      <c r="I472" t="s">
        <v>34</v>
      </c>
      <c r="J472" t="s">
        <v>36</v>
      </c>
      <c r="K472">
        <f>YEAR(financeData[[#This Row],[Date]])</f>
        <v>2024</v>
      </c>
    </row>
    <row r="473" spans="1:11" x14ac:dyDescent="0.3">
      <c r="A473" s="2">
        <v>45501.426229508194</v>
      </c>
      <c r="B473" t="s">
        <v>11</v>
      </c>
      <c r="C473" t="s">
        <v>15</v>
      </c>
      <c r="D473" t="s">
        <v>26</v>
      </c>
      <c r="E473">
        <v>93204</v>
      </c>
      <c r="F473">
        <v>62603</v>
      </c>
      <c r="G473">
        <v>91497</v>
      </c>
      <c r="H473" t="s">
        <v>28</v>
      </c>
      <c r="I473" t="s">
        <v>34</v>
      </c>
      <c r="J473" t="s">
        <v>35</v>
      </c>
      <c r="K473">
        <f>YEAR(financeData[[#This Row],[Date]])</f>
        <v>2024</v>
      </c>
    </row>
    <row r="474" spans="1:11" x14ac:dyDescent="0.3">
      <c r="A474" s="2">
        <v>45503.420765027317</v>
      </c>
      <c r="B474" t="s">
        <v>13</v>
      </c>
      <c r="C474" t="s">
        <v>15</v>
      </c>
      <c r="D474" t="s">
        <v>27</v>
      </c>
      <c r="E474">
        <v>145507</v>
      </c>
      <c r="F474">
        <v>30731</v>
      </c>
      <c r="G474">
        <v>54879</v>
      </c>
      <c r="H474" t="s">
        <v>29</v>
      </c>
      <c r="I474" t="s">
        <v>33</v>
      </c>
      <c r="J474" t="s">
        <v>35</v>
      </c>
      <c r="K474">
        <f>YEAR(financeData[[#This Row],[Date]])</f>
        <v>2024</v>
      </c>
    </row>
    <row r="475" spans="1:11" x14ac:dyDescent="0.3">
      <c r="A475" s="2">
        <v>45505.415300546447</v>
      </c>
      <c r="B475" t="s">
        <v>11</v>
      </c>
      <c r="C475" t="s">
        <v>19</v>
      </c>
      <c r="D475" t="s">
        <v>22</v>
      </c>
      <c r="E475">
        <v>42384</v>
      </c>
      <c r="F475">
        <v>70926</v>
      </c>
      <c r="G475">
        <v>64871</v>
      </c>
      <c r="H475" t="s">
        <v>30</v>
      </c>
      <c r="I475" t="s">
        <v>33</v>
      </c>
      <c r="J475" t="s">
        <v>35</v>
      </c>
      <c r="K475">
        <f>YEAR(financeData[[#This Row],[Date]])</f>
        <v>2024</v>
      </c>
    </row>
    <row r="476" spans="1:11" x14ac:dyDescent="0.3">
      <c r="A476" s="2">
        <v>45507.40983606557</v>
      </c>
      <c r="B476" t="s">
        <v>12</v>
      </c>
      <c r="C476" t="s">
        <v>18</v>
      </c>
      <c r="D476" t="s">
        <v>23</v>
      </c>
      <c r="E476">
        <v>86929</v>
      </c>
      <c r="F476">
        <v>7997</v>
      </c>
      <c r="G476">
        <v>114632</v>
      </c>
      <c r="H476" t="s">
        <v>31</v>
      </c>
      <c r="I476" t="s">
        <v>33</v>
      </c>
      <c r="J476" t="s">
        <v>36</v>
      </c>
      <c r="K476">
        <f>YEAR(financeData[[#This Row],[Date]])</f>
        <v>2024</v>
      </c>
    </row>
    <row r="477" spans="1:11" x14ac:dyDescent="0.3">
      <c r="A477" s="2">
        <v>45509.4043715847</v>
      </c>
      <c r="B477" t="s">
        <v>11</v>
      </c>
      <c r="C477" t="s">
        <v>16</v>
      </c>
      <c r="D477" t="s">
        <v>27</v>
      </c>
      <c r="E477">
        <v>132959</v>
      </c>
      <c r="F477">
        <v>57506</v>
      </c>
      <c r="G477">
        <v>116623</v>
      </c>
      <c r="H477" t="s">
        <v>28</v>
      </c>
      <c r="I477" t="s">
        <v>33</v>
      </c>
      <c r="J477" t="s">
        <v>36</v>
      </c>
      <c r="K477">
        <f>YEAR(financeData[[#This Row],[Date]])</f>
        <v>2024</v>
      </c>
    </row>
    <row r="478" spans="1:11" x14ac:dyDescent="0.3">
      <c r="A478" s="2">
        <v>45511.398907103823</v>
      </c>
      <c r="B478" t="s">
        <v>10</v>
      </c>
      <c r="C478" t="s">
        <v>16</v>
      </c>
      <c r="D478" t="s">
        <v>26</v>
      </c>
      <c r="E478">
        <v>81153</v>
      </c>
      <c r="F478">
        <v>80229</v>
      </c>
      <c r="G478">
        <v>94388</v>
      </c>
      <c r="H478" t="s">
        <v>31</v>
      </c>
      <c r="I478" t="s">
        <v>34</v>
      </c>
      <c r="J478" t="s">
        <v>35</v>
      </c>
      <c r="K478">
        <f>YEAR(financeData[[#This Row],[Date]])</f>
        <v>2024</v>
      </c>
    </row>
    <row r="479" spans="1:11" x14ac:dyDescent="0.3">
      <c r="A479" s="2">
        <v>45513.393442622939</v>
      </c>
      <c r="B479" t="s">
        <v>14</v>
      </c>
      <c r="C479" t="s">
        <v>17</v>
      </c>
      <c r="D479" t="s">
        <v>24</v>
      </c>
      <c r="E479">
        <v>80388</v>
      </c>
      <c r="F479">
        <v>51815</v>
      </c>
      <c r="G479">
        <v>103646</v>
      </c>
      <c r="H479" t="s">
        <v>31</v>
      </c>
      <c r="I479" t="s">
        <v>32</v>
      </c>
      <c r="J479" t="s">
        <v>36</v>
      </c>
      <c r="K479">
        <f>YEAR(financeData[[#This Row],[Date]])</f>
        <v>2024</v>
      </c>
    </row>
    <row r="480" spans="1:11" x14ac:dyDescent="0.3">
      <c r="A480" s="2">
        <v>45515.387978142069</v>
      </c>
      <c r="B480" t="s">
        <v>11</v>
      </c>
      <c r="C480" t="s">
        <v>21</v>
      </c>
      <c r="D480" t="s">
        <v>27</v>
      </c>
      <c r="E480">
        <v>36401</v>
      </c>
      <c r="F480">
        <v>44092</v>
      </c>
      <c r="G480">
        <v>37174</v>
      </c>
      <c r="H480" t="s">
        <v>29</v>
      </c>
      <c r="I480" t="s">
        <v>34</v>
      </c>
      <c r="J480" t="s">
        <v>35</v>
      </c>
      <c r="K480">
        <f>YEAR(financeData[[#This Row],[Date]])</f>
        <v>2024</v>
      </c>
    </row>
    <row r="481" spans="1:11" x14ac:dyDescent="0.3">
      <c r="A481" s="2">
        <v>45517.382513661192</v>
      </c>
      <c r="B481" t="s">
        <v>11</v>
      </c>
      <c r="C481" t="s">
        <v>16</v>
      </c>
      <c r="D481" t="s">
        <v>23</v>
      </c>
      <c r="E481">
        <v>124503</v>
      </c>
      <c r="F481">
        <v>64539</v>
      </c>
      <c r="G481">
        <v>104751</v>
      </c>
      <c r="H481" t="s">
        <v>30</v>
      </c>
      <c r="I481" t="s">
        <v>32</v>
      </c>
      <c r="J481" t="s">
        <v>35</v>
      </c>
      <c r="K481">
        <f>YEAR(financeData[[#This Row],[Date]])</f>
        <v>2024</v>
      </c>
    </row>
    <row r="482" spans="1:11" x14ac:dyDescent="0.3">
      <c r="A482" s="2">
        <v>45519.377049180323</v>
      </c>
      <c r="B482" t="s">
        <v>14</v>
      </c>
      <c r="C482" t="s">
        <v>20</v>
      </c>
      <c r="D482" t="s">
        <v>27</v>
      </c>
      <c r="E482">
        <v>132834</v>
      </c>
      <c r="F482">
        <v>68077</v>
      </c>
      <c r="G482">
        <v>97491</v>
      </c>
      <c r="H482" t="s">
        <v>29</v>
      </c>
      <c r="I482" t="s">
        <v>33</v>
      </c>
      <c r="J482" t="s">
        <v>35</v>
      </c>
      <c r="K482">
        <f>YEAR(financeData[[#This Row],[Date]])</f>
        <v>2024</v>
      </c>
    </row>
    <row r="483" spans="1:11" x14ac:dyDescent="0.3">
      <c r="A483" s="2">
        <v>45521.371584699453</v>
      </c>
      <c r="B483" t="s">
        <v>10</v>
      </c>
      <c r="C483" t="s">
        <v>16</v>
      </c>
      <c r="D483" t="s">
        <v>25</v>
      </c>
      <c r="E483">
        <v>39084</v>
      </c>
      <c r="F483">
        <v>23817</v>
      </c>
      <c r="G483">
        <v>11581</v>
      </c>
      <c r="H483" t="s">
        <v>29</v>
      </c>
      <c r="I483" t="s">
        <v>32</v>
      </c>
      <c r="J483" t="s">
        <v>35</v>
      </c>
      <c r="K483">
        <f>YEAR(financeData[[#This Row],[Date]])</f>
        <v>2024</v>
      </c>
    </row>
    <row r="484" spans="1:11" x14ac:dyDescent="0.3">
      <c r="A484" s="2">
        <v>45523.366120218583</v>
      </c>
      <c r="B484" t="s">
        <v>13</v>
      </c>
      <c r="C484" t="s">
        <v>17</v>
      </c>
      <c r="D484" t="s">
        <v>24</v>
      </c>
      <c r="E484">
        <v>115641</v>
      </c>
      <c r="F484">
        <v>39861</v>
      </c>
      <c r="G484">
        <v>115155</v>
      </c>
      <c r="H484" t="s">
        <v>29</v>
      </c>
      <c r="I484" t="s">
        <v>34</v>
      </c>
      <c r="J484" t="s">
        <v>36</v>
      </c>
      <c r="K484">
        <f>YEAR(financeData[[#This Row],[Date]])</f>
        <v>2024</v>
      </c>
    </row>
    <row r="485" spans="1:11" x14ac:dyDescent="0.3">
      <c r="A485" s="2">
        <v>45525.360655737699</v>
      </c>
      <c r="B485" t="s">
        <v>11</v>
      </c>
      <c r="C485" t="s">
        <v>16</v>
      </c>
      <c r="D485" t="s">
        <v>23</v>
      </c>
      <c r="E485">
        <v>110111</v>
      </c>
      <c r="F485">
        <v>15428</v>
      </c>
      <c r="G485">
        <v>76853</v>
      </c>
      <c r="H485" t="s">
        <v>31</v>
      </c>
      <c r="I485" t="s">
        <v>34</v>
      </c>
      <c r="J485" t="s">
        <v>35</v>
      </c>
      <c r="K485">
        <f>YEAR(financeData[[#This Row],[Date]])</f>
        <v>2024</v>
      </c>
    </row>
    <row r="486" spans="1:11" x14ac:dyDescent="0.3">
      <c r="A486" s="2">
        <v>45527.355191256829</v>
      </c>
      <c r="B486" t="s">
        <v>14</v>
      </c>
      <c r="C486" t="s">
        <v>20</v>
      </c>
      <c r="D486" t="s">
        <v>23</v>
      </c>
      <c r="E486">
        <v>143299</v>
      </c>
      <c r="F486">
        <v>45934</v>
      </c>
      <c r="G486">
        <v>69046</v>
      </c>
      <c r="H486" t="s">
        <v>29</v>
      </c>
      <c r="I486" t="s">
        <v>33</v>
      </c>
      <c r="J486" t="s">
        <v>35</v>
      </c>
      <c r="K486">
        <f>YEAR(financeData[[#This Row],[Date]])</f>
        <v>2024</v>
      </c>
    </row>
    <row r="487" spans="1:11" x14ac:dyDescent="0.3">
      <c r="A487" s="2">
        <v>45529.349726775952</v>
      </c>
      <c r="B487" t="s">
        <v>12</v>
      </c>
      <c r="C487" t="s">
        <v>19</v>
      </c>
      <c r="D487" t="s">
        <v>22</v>
      </c>
      <c r="E487">
        <v>41041</v>
      </c>
      <c r="F487">
        <v>12258</v>
      </c>
      <c r="G487">
        <v>54678</v>
      </c>
      <c r="H487" t="s">
        <v>29</v>
      </c>
      <c r="I487" t="s">
        <v>34</v>
      </c>
      <c r="J487" t="s">
        <v>36</v>
      </c>
      <c r="K487">
        <f>YEAR(financeData[[#This Row],[Date]])</f>
        <v>2024</v>
      </c>
    </row>
    <row r="488" spans="1:11" x14ac:dyDescent="0.3">
      <c r="A488" s="2">
        <v>45531.344262295082</v>
      </c>
      <c r="B488" t="s">
        <v>14</v>
      </c>
      <c r="C488" t="s">
        <v>21</v>
      </c>
      <c r="D488" t="s">
        <v>26</v>
      </c>
      <c r="E488">
        <v>93920</v>
      </c>
      <c r="F488">
        <v>59775</v>
      </c>
      <c r="G488">
        <v>113392</v>
      </c>
      <c r="H488" t="s">
        <v>30</v>
      </c>
      <c r="I488" t="s">
        <v>33</v>
      </c>
      <c r="J488" t="s">
        <v>35</v>
      </c>
      <c r="K488">
        <f>YEAR(financeData[[#This Row],[Date]])</f>
        <v>2024</v>
      </c>
    </row>
    <row r="489" spans="1:11" x14ac:dyDescent="0.3">
      <c r="A489" s="2">
        <v>45533.338797814198</v>
      </c>
      <c r="B489" t="s">
        <v>12</v>
      </c>
      <c r="C489" t="s">
        <v>17</v>
      </c>
      <c r="D489" t="s">
        <v>22</v>
      </c>
      <c r="E489">
        <v>70681</v>
      </c>
      <c r="F489">
        <v>83580</v>
      </c>
      <c r="G489">
        <v>116250</v>
      </c>
      <c r="H489" t="s">
        <v>30</v>
      </c>
      <c r="I489" t="s">
        <v>34</v>
      </c>
      <c r="J489" t="s">
        <v>35</v>
      </c>
      <c r="K489">
        <f>YEAR(financeData[[#This Row],[Date]])</f>
        <v>2024</v>
      </c>
    </row>
    <row r="490" spans="1:11" x14ac:dyDescent="0.3">
      <c r="A490" s="2">
        <v>45535.333333333343</v>
      </c>
      <c r="B490" t="s">
        <v>10</v>
      </c>
      <c r="C490" t="s">
        <v>19</v>
      </c>
      <c r="D490" t="s">
        <v>23</v>
      </c>
      <c r="E490">
        <v>86571</v>
      </c>
      <c r="F490">
        <v>96947</v>
      </c>
      <c r="G490">
        <v>31649</v>
      </c>
      <c r="H490" t="s">
        <v>29</v>
      </c>
      <c r="I490" t="s">
        <v>34</v>
      </c>
      <c r="J490" t="s">
        <v>36</v>
      </c>
      <c r="K490">
        <f>YEAR(financeData[[#This Row],[Date]])</f>
        <v>2024</v>
      </c>
    </row>
    <row r="491" spans="1:11" x14ac:dyDescent="0.3">
      <c r="A491" s="2">
        <v>45537.327868852452</v>
      </c>
      <c r="B491" t="s">
        <v>13</v>
      </c>
      <c r="C491" t="s">
        <v>19</v>
      </c>
      <c r="D491" t="s">
        <v>24</v>
      </c>
      <c r="E491">
        <v>132556</v>
      </c>
      <c r="F491">
        <v>7469</v>
      </c>
      <c r="G491">
        <v>93668</v>
      </c>
      <c r="H491" t="s">
        <v>30</v>
      </c>
      <c r="I491" t="s">
        <v>33</v>
      </c>
      <c r="J491" t="s">
        <v>36</v>
      </c>
      <c r="K491">
        <f>YEAR(financeData[[#This Row],[Date]])</f>
        <v>2024</v>
      </c>
    </row>
    <row r="492" spans="1:11" x14ac:dyDescent="0.3">
      <c r="A492" s="2">
        <v>45539.322404371567</v>
      </c>
      <c r="B492" t="s">
        <v>14</v>
      </c>
      <c r="C492" t="s">
        <v>19</v>
      </c>
      <c r="D492" t="s">
        <v>27</v>
      </c>
      <c r="E492">
        <v>31160</v>
      </c>
      <c r="F492">
        <v>30854</v>
      </c>
      <c r="G492">
        <v>87325</v>
      </c>
      <c r="H492" t="s">
        <v>30</v>
      </c>
      <c r="I492" t="s">
        <v>32</v>
      </c>
      <c r="J492" t="s">
        <v>36</v>
      </c>
      <c r="K492">
        <f>YEAR(financeData[[#This Row],[Date]])</f>
        <v>2024</v>
      </c>
    </row>
    <row r="493" spans="1:11" x14ac:dyDescent="0.3">
      <c r="A493" s="2">
        <v>45541.316939890698</v>
      </c>
      <c r="B493" t="s">
        <v>11</v>
      </c>
      <c r="C493" t="s">
        <v>15</v>
      </c>
      <c r="D493" t="s">
        <v>27</v>
      </c>
      <c r="E493">
        <v>22633</v>
      </c>
      <c r="F493">
        <v>8256</v>
      </c>
      <c r="G493">
        <v>19567</v>
      </c>
      <c r="H493" t="s">
        <v>29</v>
      </c>
      <c r="I493" t="s">
        <v>34</v>
      </c>
      <c r="J493" t="s">
        <v>35</v>
      </c>
      <c r="K493">
        <f>YEAR(financeData[[#This Row],[Date]])</f>
        <v>2024</v>
      </c>
    </row>
    <row r="494" spans="1:11" x14ac:dyDescent="0.3">
      <c r="A494" s="2">
        <v>45543.311475409828</v>
      </c>
      <c r="B494" t="s">
        <v>10</v>
      </c>
      <c r="C494" t="s">
        <v>21</v>
      </c>
      <c r="D494" t="s">
        <v>24</v>
      </c>
      <c r="E494">
        <v>22014</v>
      </c>
      <c r="F494">
        <v>78256</v>
      </c>
      <c r="G494">
        <v>85404</v>
      </c>
      <c r="H494" t="s">
        <v>31</v>
      </c>
      <c r="I494" t="s">
        <v>32</v>
      </c>
      <c r="J494" t="s">
        <v>36</v>
      </c>
      <c r="K494">
        <f>YEAR(financeData[[#This Row],[Date]])</f>
        <v>2024</v>
      </c>
    </row>
    <row r="495" spans="1:11" x14ac:dyDescent="0.3">
      <c r="A495" s="2">
        <v>45545.306010928958</v>
      </c>
      <c r="B495" t="s">
        <v>14</v>
      </c>
      <c r="C495" t="s">
        <v>18</v>
      </c>
      <c r="D495" t="s">
        <v>23</v>
      </c>
      <c r="E495">
        <v>85532</v>
      </c>
      <c r="F495">
        <v>35937</v>
      </c>
      <c r="G495">
        <v>94906</v>
      </c>
      <c r="H495" t="s">
        <v>29</v>
      </c>
      <c r="I495" t="s">
        <v>34</v>
      </c>
      <c r="J495" t="s">
        <v>36</v>
      </c>
      <c r="K495">
        <f>YEAR(financeData[[#This Row],[Date]])</f>
        <v>2024</v>
      </c>
    </row>
    <row r="496" spans="1:11" x14ac:dyDescent="0.3">
      <c r="A496" s="2">
        <v>45547.300546448081</v>
      </c>
      <c r="B496" t="s">
        <v>11</v>
      </c>
      <c r="C496" t="s">
        <v>21</v>
      </c>
      <c r="D496" t="s">
        <v>27</v>
      </c>
      <c r="E496">
        <v>54104</v>
      </c>
      <c r="F496">
        <v>3651</v>
      </c>
      <c r="G496">
        <v>113069</v>
      </c>
      <c r="H496" t="s">
        <v>30</v>
      </c>
      <c r="I496" t="s">
        <v>34</v>
      </c>
      <c r="J496" t="s">
        <v>35</v>
      </c>
      <c r="K496">
        <f>YEAR(financeData[[#This Row],[Date]])</f>
        <v>2024</v>
      </c>
    </row>
    <row r="497" spans="1:11" x14ac:dyDescent="0.3">
      <c r="A497" s="2">
        <v>45549.295081967211</v>
      </c>
      <c r="B497" t="s">
        <v>14</v>
      </c>
      <c r="C497" t="s">
        <v>15</v>
      </c>
      <c r="D497" t="s">
        <v>27</v>
      </c>
      <c r="E497">
        <v>82231</v>
      </c>
      <c r="F497">
        <v>52288</v>
      </c>
      <c r="G497">
        <v>101019</v>
      </c>
      <c r="H497" t="s">
        <v>31</v>
      </c>
      <c r="I497" t="s">
        <v>34</v>
      </c>
      <c r="J497" t="s">
        <v>35</v>
      </c>
      <c r="K497">
        <f>YEAR(financeData[[#This Row],[Date]])</f>
        <v>2024</v>
      </c>
    </row>
    <row r="498" spans="1:11" x14ac:dyDescent="0.3">
      <c r="A498" s="2">
        <v>45551.289617486327</v>
      </c>
      <c r="B498" t="s">
        <v>12</v>
      </c>
      <c r="C498" t="s">
        <v>18</v>
      </c>
      <c r="D498" t="s">
        <v>27</v>
      </c>
      <c r="E498">
        <v>73388</v>
      </c>
      <c r="F498">
        <v>86730</v>
      </c>
      <c r="G498">
        <v>66944</v>
      </c>
      <c r="H498" t="s">
        <v>28</v>
      </c>
      <c r="I498" t="s">
        <v>34</v>
      </c>
      <c r="J498" t="s">
        <v>35</v>
      </c>
      <c r="K498">
        <f>YEAR(financeData[[#This Row],[Date]])</f>
        <v>2024</v>
      </c>
    </row>
    <row r="499" spans="1:11" x14ac:dyDescent="0.3">
      <c r="A499" s="2">
        <v>45553.284153005457</v>
      </c>
      <c r="B499" t="s">
        <v>14</v>
      </c>
      <c r="C499" t="s">
        <v>21</v>
      </c>
      <c r="D499" t="s">
        <v>26</v>
      </c>
      <c r="E499">
        <v>21014</v>
      </c>
      <c r="F499">
        <v>27051</v>
      </c>
      <c r="G499">
        <v>83002</v>
      </c>
      <c r="H499" t="s">
        <v>31</v>
      </c>
      <c r="I499" t="s">
        <v>32</v>
      </c>
      <c r="J499" t="s">
        <v>35</v>
      </c>
      <c r="K499">
        <f>YEAR(financeData[[#This Row],[Date]])</f>
        <v>2024</v>
      </c>
    </row>
    <row r="500" spans="1:11" x14ac:dyDescent="0.3">
      <c r="A500" s="2">
        <v>45555.278688524581</v>
      </c>
      <c r="B500" t="s">
        <v>14</v>
      </c>
      <c r="C500" t="s">
        <v>19</v>
      </c>
      <c r="D500" t="s">
        <v>26</v>
      </c>
      <c r="E500">
        <v>97578</v>
      </c>
      <c r="F500">
        <v>29386</v>
      </c>
      <c r="G500">
        <v>33803</v>
      </c>
      <c r="H500" t="s">
        <v>30</v>
      </c>
      <c r="I500" t="s">
        <v>32</v>
      </c>
      <c r="J500" t="s">
        <v>35</v>
      </c>
      <c r="K500">
        <f>YEAR(financeData[[#This Row],[Date]])</f>
        <v>2024</v>
      </c>
    </row>
    <row r="501" spans="1:11" x14ac:dyDescent="0.3">
      <c r="A501" s="2">
        <v>45557.273224043718</v>
      </c>
      <c r="B501" t="s">
        <v>14</v>
      </c>
      <c r="C501" t="s">
        <v>17</v>
      </c>
      <c r="D501" t="s">
        <v>25</v>
      </c>
      <c r="E501">
        <v>45390</v>
      </c>
      <c r="F501">
        <v>77054</v>
      </c>
      <c r="G501">
        <v>23230</v>
      </c>
      <c r="H501" t="s">
        <v>31</v>
      </c>
      <c r="I501" t="s">
        <v>34</v>
      </c>
      <c r="J501" t="s">
        <v>36</v>
      </c>
      <c r="K501">
        <f>YEAR(financeData[[#This Row],[Date]])</f>
        <v>2024</v>
      </c>
    </row>
    <row r="502" spans="1:11" x14ac:dyDescent="0.3">
      <c r="A502" s="2">
        <v>45559.267759562827</v>
      </c>
      <c r="B502" t="s">
        <v>10</v>
      </c>
      <c r="C502" t="s">
        <v>18</v>
      </c>
      <c r="D502" t="s">
        <v>22</v>
      </c>
      <c r="E502">
        <v>28711</v>
      </c>
      <c r="F502">
        <v>18184</v>
      </c>
      <c r="G502">
        <v>22862</v>
      </c>
      <c r="H502" t="s">
        <v>29</v>
      </c>
      <c r="I502" t="s">
        <v>34</v>
      </c>
      <c r="J502" t="s">
        <v>36</v>
      </c>
      <c r="K502">
        <f>YEAR(financeData[[#This Row],[Date]])</f>
        <v>2024</v>
      </c>
    </row>
    <row r="503" spans="1:11" x14ac:dyDescent="0.3">
      <c r="A503" s="2">
        <v>45561.262295081957</v>
      </c>
      <c r="B503" t="s">
        <v>14</v>
      </c>
      <c r="C503" t="s">
        <v>20</v>
      </c>
      <c r="D503" t="s">
        <v>24</v>
      </c>
      <c r="E503">
        <v>96658</v>
      </c>
      <c r="F503">
        <v>35787</v>
      </c>
      <c r="G503">
        <v>48355</v>
      </c>
      <c r="H503" t="s">
        <v>28</v>
      </c>
      <c r="I503" t="s">
        <v>32</v>
      </c>
      <c r="J503" t="s">
        <v>36</v>
      </c>
      <c r="K503">
        <f>YEAR(financeData[[#This Row],[Date]])</f>
        <v>2024</v>
      </c>
    </row>
    <row r="504" spans="1:11" x14ac:dyDescent="0.3">
      <c r="A504" s="2">
        <v>45563.256830601087</v>
      </c>
      <c r="B504" t="s">
        <v>11</v>
      </c>
      <c r="C504" t="s">
        <v>20</v>
      </c>
      <c r="D504" t="s">
        <v>24</v>
      </c>
      <c r="E504">
        <v>62993</v>
      </c>
      <c r="F504">
        <v>23621</v>
      </c>
      <c r="G504">
        <v>36259</v>
      </c>
      <c r="H504" t="s">
        <v>28</v>
      </c>
      <c r="I504" t="s">
        <v>33</v>
      </c>
      <c r="J504" t="s">
        <v>35</v>
      </c>
      <c r="K504">
        <f>YEAR(financeData[[#This Row],[Date]])</f>
        <v>2024</v>
      </c>
    </row>
    <row r="505" spans="1:11" x14ac:dyDescent="0.3">
      <c r="A505" s="2">
        <v>45565.25136612021</v>
      </c>
      <c r="B505" t="s">
        <v>12</v>
      </c>
      <c r="C505" t="s">
        <v>16</v>
      </c>
      <c r="D505" t="s">
        <v>24</v>
      </c>
      <c r="E505">
        <v>12421</v>
      </c>
      <c r="F505">
        <v>77564</v>
      </c>
      <c r="G505">
        <v>104075</v>
      </c>
      <c r="H505" t="s">
        <v>28</v>
      </c>
      <c r="I505" t="s">
        <v>33</v>
      </c>
      <c r="J505" t="s">
        <v>35</v>
      </c>
      <c r="K505">
        <f>YEAR(financeData[[#This Row],[Date]])</f>
        <v>2024</v>
      </c>
    </row>
    <row r="506" spans="1:11" x14ac:dyDescent="0.3">
      <c r="A506" s="2">
        <v>45567.24590163934</v>
      </c>
      <c r="B506" t="s">
        <v>12</v>
      </c>
      <c r="C506" t="s">
        <v>18</v>
      </c>
      <c r="D506" t="s">
        <v>25</v>
      </c>
      <c r="E506">
        <v>22727</v>
      </c>
      <c r="F506">
        <v>79984</v>
      </c>
      <c r="G506">
        <v>92445</v>
      </c>
      <c r="H506" t="s">
        <v>30</v>
      </c>
      <c r="I506" t="s">
        <v>32</v>
      </c>
      <c r="J506" t="s">
        <v>35</v>
      </c>
      <c r="K506">
        <f>YEAR(financeData[[#This Row],[Date]])</f>
        <v>2024</v>
      </c>
    </row>
    <row r="507" spans="1:11" x14ac:dyDescent="0.3">
      <c r="A507" s="2">
        <v>45569.240437158463</v>
      </c>
      <c r="B507" t="s">
        <v>14</v>
      </c>
      <c r="C507" t="s">
        <v>17</v>
      </c>
      <c r="D507" t="s">
        <v>26</v>
      </c>
      <c r="E507">
        <v>117418</v>
      </c>
      <c r="F507">
        <v>61792</v>
      </c>
      <c r="G507">
        <v>35795</v>
      </c>
      <c r="H507" t="s">
        <v>30</v>
      </c>
      <c r="I507" t="s">
        <v>34</v>
      </c>
      <c r="J507" t="s">
        <v>36</v>
      </c>
      <c r="K507">
        <f>YEAR(financeData[[#This Row],[Date]])</f>
        <v>2024</v>
      </c>
    </row>
    <row r="508" spans="1:11" x14ac:dyDescent="0.3">
      <c r="A508" s="2">
        <v>45571.234972677586</v>
      </c>
      <c r="B508" t="s">
        <v>10</v>
      </c>
      <c r="C508" t="s">
        <v>15</v>
      </c>
      <c r="D508" t="s">
        <v>23</v>
      </c>
      <c r="E508">
        <v>9358</v>
      </c>
      <c r="F508">
        <v>47253</v>
      </c>
      <c r="G508">
        <v>119604</v>
      </c>
      <c r="H508" t="s">
        <v>28</v>
      </c>
      <c r="I508" t="s">
        <v>34</v>
      </c>
      <c r="J508" t="s">
        <v>36</v>
      </c>
      <c r="K508">
        <f>YEAR(financeData[[#This Row],[Date]])</f>
        <v>2024</v>
      </c>
    </row>
    <row r="509" spans="1:11" x14ac:dyDescent="0.3">
      <c r="A509" s="2">
        <v>45573.22950819671</v>
      </c>
      <c r="B509" t="s">
        <v>10</v>
      </c>
      <c r="C509" t="s">
        <v>19</v>
      </c>
      <c r="D509" t="s">
        <v>23</v>
      </c>
      <c r="E509">
        <v>70108</v>
      </c>
      <c r="F509">
        <v>36051</v>
      </c>
      <c r="G509">
        <v>13770</v>
      </c>
      <c r="H509" t="s">
        <v>31</v>
      </c>
      <c r="I509" t="s">
        <v>33</v>
      </c>
      <c r="J509" t="s">
        <v>35</v>
      </c>
      <c r="K509">
        <f>YEAR(financeData[[#This Row],[Date]])</f>
        <v>2024</v>
      </c>
    </row>
    <row r="510" spans="1:11" x14ac:dyDescent="0.3">
      <c r="A510" s="2">
        <v>45575.224043715847</v>
      </c>
      <c r="B510" t="s">
        <v>11</v>
      </c>
      <c r="C510" t="s">
        <v>16</v>
      </c>
      <c r="D510" t="s">
        <v>25</v>
      </c>
      <c r="E510">
        <v>99018</v>
      </c>
      <c r="F510">
        <v>51811</v>
      </c>
      <c r="G510">
        <v>16093</v>
      </c>
      <c r="H510" t="s">
        <v>28</v>
      </c>
      <c r="I510" t="s">
        <v>33</v>
      </c>
      <c r="J510" t="s">
        <v>36</v>
      </c>
      <c r="K510">
        <f>YEAR(financeData[[#This Row],[Date]])</f>
        <v>2024</v>
      </c>
    </row>
    <row r="511" spans="1:11" x14ac:dyDescent="0.3">
      <c r="A511" s="2">
        <v>45577.218579234963</v>
      </c>
      <c r="B511" t="s">
        <v>14</v>
      </c>
      <c r="C511" t="s">
        <v>20</v>
      </c>
      <c r="D511" t="s">
        <v>23</v>
      </c>
      <c r="E511">
        <v>129457</v>
      </c>
      <c r="F511">
        <v>32447</v>
      </c>
      <c r="G511">
        <v>51571</v>
      </c>
      <c r="H511" t="s">
        <v>31</v>
      </c>
      <c r="I511" t="s">
        <v>32</v>
      </c>
      <c r="J511" t="s">
        <v>35</v>
      </c>
      <c r="K511">
        <f>YEAR(financeData[[#This Row],[Date]])</f>
        <v>2024</v>
      </c>
    </row>
    <row r="512" spans="1:11" x14ac:dyDescent="0.3">
      <c r="A512" s="2">
        <v>45579.2131147541</v>
      </c>
      <c r="B512" t="s">
        <v>12</v>
      </c>
      <c r="C512" t="s">
        <v>15</v>
      </c>
      <c r="D512" t="s">
        <v>24</v>
      </c>
      <c r="E512">
        <v>36910</v>
      </c>
      <c r="F512">
        <v>85930</v>
      </c>
      <c r="G512">
        <v>5193</v>
      </c>
      <c r="H512" t="s">
        <v>31</v>
      </c>
      <c r="I512" t="s">
        <v>33</v>
      </c>
      <c r="J512" t="s">
        <v>36</v>
      </c>
      <c r="K512">
        <f>YEAR(financeData[[#This Row],[Date]])</f>
        <v>2024</v>
      </c>
    </row>
    <row r="513" spans="1:11" x14ac:dyDescent="0.3">
      <c r="A513" s="2">
        <v>45581.207650273223</v>
      </c>
      <c r="B513" t="s">
        <v>10</v>
      </c>
      <c r="C513" t="s">
        <v>15</v>
      </c>
      <c r="D513" t="s">
        <v>22</v>
      </c>
      <c r="E513">
        <v>131888</v>
      </c>
      <c r="F513">
        <v>32254</v>
      </c>
      <c r="G513">
        <v>105311</v>
      </c>
      <c r="H513" t="s">
        <v>30</v>
      </c>
      <c r="I513" t="s">
        <v>32</v>
      </c>
      <c r="J513" t="s">
        <v>36</v>
      </c>
      <c r="K513">
        <f>YEAR(financeData[[#This Row],[Date]])</f>
        <v>2024</v>
      </c>
    </row>
    <row r="514" spans="1:11" x14ac:dyDescent="0.3">
      <c r="A514" s="2">
        <v>45583.202185792346</v>
      </c>
      <c r="B514" t="s">
        <v>14</v>
      </c>
      <c r="C514" t="s">
        <v>19</v>
      </c>
      <c r="D514" t="s">
        <v>27</v>
      </c>
      <c r="E514">
        <v>60754</v>
      </c>
      <c r="F514">
        <v>86045</v>
      </c>
      <c r="G514">
        <v>22569</v>
      </c>
      <c r="H514" t="s">
        <v>31</v>
      </c>
      <c r="I514" t="s">
        <v>33</v>
      </c>
      <c r="J514" t="s">
        <v>36</v>
      </c>
      <c r="K514">
        <f>YEAR(financeData[[#This Row],[Date]])</f>
        <v>2024</v>
      </c>
    </row>
    <row r="515" spans="1:11" x14ac:dyDescent="0.3">
      <c r="A515" s="2">
        <v>45585.196721311469</v>
      </c>
      <c r="B515" t="s">
        <v>10</v>
      </c>
      <c r="C515" t="s">
        <v>18</v>
      </c>
      <c r="D515" t="s">
        <v>26</v>
      </c>
      <c r="E515">
        <v>114847</v>
      </c>
      <c r="F515">
        <v>59418</v>
      </c>
      <c r="G515">
        <v>16190</v>
      </c>
      <c r="H515" t="s">
        <v>28</v>
      </c>
      <c r="I515" t="s">
        <v>33</v>
      </c>
      <c r="J515" t="s">
        <v>35</v>
      </c>
      <c r="K515">
        <f>YEAR(financeData[[#This Row],[Date]])</f>
        <v>2024</v>
      </c>
    </row>
    <row r="516" spans="1:11" x14ac:dyDescent="0.3">
      <c r="A516" s="2">
        <v>45587.191256830592</v>
      </c>
      <c r="B516" t="s">
        <v>10</v>
      </c>
      <c r="C516" t="s">
        <v>20</v>
      </c>
      <c r="D516" t="s">
        <v>26</v>
      </c>
      <c r="E516">
        <v>43467</v>
      </c>
      <c r="F516">
        <v>16472</v>
      </c>
      <c r="G516">
        <v>67824</v>
      </c>
      <c r="H516" t="s">
        <v>30</v>
      </c>
      <c r="I516" t="s">
        <v>33</v>
      </c>
      <c r="J516" t="s">
        <v>36</v>
      </c>
      <c r="K516">
        <f>YEAR(financeData[[#This Row],[Date]])</f>
        <v>2024</v>
      </c>
    </row>
    <row r="517" spans="1:11" x14ac:dyDescent="0.3">
      <c r="A517" s="2">
        <v>45589.185792349723</v>
      </c>
      <c r="B517" t="s">
        <v>12</v>
      </c>
      <c r="C517" t="s">
        <v>17</v>
      </c>
      <c r="D517" t="s">
        <v>25</v>
      </c>
      <c r="E517">
        <v>38893</v>
      </c>
      <c r="F517">
        <v>5471</v>
      </c>
      <c r="G517">
        <v>47752</v>
      </c>
      <c r="H517" t="s">
        <v>29</v>
      </c>
      <c r="I517" t="s">
        <v>34</v>
      </c>
      <c r="J517" t="s">
        <v>36</v>
      </c>
      <c r="K517">
        <f>YEAR(financeData[[#This Row],[Date]])</f>
        <v>2024</v>
      </c>
    </row>
    <row r="518" spans="1:11" x14ac:dyDescent="0.3">
      <c r="A518" s="2">
        <v>45591.180327868853</v>
      </c>
      <c r="B518" t="s">
        <v>13</v>
      </c>
      <c r="C518" t="s">
        <v>15</v>
      </c>
      <c r="D518" t="s">
        <v>26</v>
      </c>
      <c r="E518">
        <v>81329</v>
      </c>
      <c r="F518">
        <v>97804</v>
      </c>
      <c r="G518">
        <v>37327</v>
      </c>
      <c r="H518" t="s">
        <v>29</v>
      </c>
      <c r="I518" t="s">
        <v>34</v>
      </c>
      <c r="J518" t="s">
        <v>35</v>
      </c>
      <c r="K518">
        <f>YEAR(financeData[[#This Row],[Date]])</f>
        <v>2024</v>
      </c>
    </row>
    <row r="519" spans="1:11" x14ac:dyDescent="0.3">
      <c r="A519" s="2">
        <v>45593.174863387983</v>
      </c>
      <c r="B519" t="s">
        <v>11</v>
      </c>
      <c r="C519" t="s">
        <v>19</v>
      </c>
      <c r="D519" t="s">
        <v>24</v>
      </c>
      <c r="E519">
        <v>36007</v>
      </c>
      <c r="F519">
        <v>10329</v>
      </c>
      <c r="G519">
        <v>47070</v>
      </c>
      <c r="H519" t="s">
        <v>30</v>
      </c>
      <c r="I519" t="s">
        <v>34</v>
      </c>
      <c r="J519" t="s">
        <v>36</v>
      </c>
      <c r="K519">
        <f>YEAR(financeData[[#This Row],[Date]])</f>
        <v>2024</v>
      </c>
    </row>
    <row r="520" spans="1:11" x14ac:dyDescent="0.3">
      <c r="A520" s="2">
        <v>45595.169398907092</v>
      </c>
      <c r="B520" t="s">
        <v>11</v>
      </c>
      <c r="C520" t="s">
        <v>17</v>
      </c>
      <c r="D520" t="s">
        <v>23</v>
      </c>
      <c r="E520">
        <v>59253</v>
      </c>
      <c r="F520">
        <v>36865</v>
      </c>
      <c r="G520">
        <v>90925</v>
      </c>
      <c r="H520" t="s">
        <v>28</v>
      </c>
      <c r="I520" t="s">
        <v>33</v>
      </c>
      <c r="J520" t="s">
        <v>35</v>
      </c>
      <c r="K520">
        <f>YEAR(financeData[[#This Row],[Date]])</f>
        <v>2024</v>
      </c>
    </row>
    <row r="521" spans="1:11" x14ac:dyDescent="0.3">
      <c r="A521" s="2">
        <v>45597.163934426229</v>
      </c>
      <c r="B521" t="s">
        <v>12</v>
      </c>
      <c r="C521" t="s">
        <v>18</v>
      </c>
      <c r="D521" t="s">
        <v>24</v>
      </c>
      <c r="E521">
        <v>17323</v>
      </c>
      <c r="F521">
        <v>48850</v>
      </c>
      <c r="G521">
        <v>45197</v>
      </c>
      <c r="H521" t="s">
        <v>29</v>
      </c>
      <c r="I521" t="s">
        <v>32</v>
      </c>
      <c r="J521" t="s">
        <v>35</v>
      </c>
      <c r="K521">
        <f>YEAR(financeData[[#This Row],[Date]])</f>
        <v>2024</v>
      </c>
    </row>
    <row r="522" spans="1:11" x14ac:dyDescent="0.3">
      <c r="A522" s="2">
        <v>45599.158469945352</v>
      </c>
      <c r="B522" t="s">
        <v>10</v>
      </c>
      <c r="C522" t="s">
        <v>20</v>
      </c>
      <c r="D522" t="s">
        <v>25</v>
      </c>
      <c r="E522">
        <v>116335</v>
      </c>
      <c r="F522">
        <v>56220</v>
      </c>
      <c r="G522">
        <v>7261</v>
      </c>
      <c r="H522" t="s">
        <v>29</v>
      </c>
      <c r="I522" t="s">
        <v>32</v>
      </c>
      <c r="J522" t="s">
        <v>35</v>
      </c>
      <c r="K522">
        <f>YEAR(financeData[[#This Row],[Date]])</f>
        <v>2024</v>
      </c>
    </row>
    <row r="523" spans="1:11" x14ac:dyDescent="0.3">
      <c r="A523" s="2">
        <v>45601.153005464483</v>
      </c>
      <c r="B523" t="s">
        <v>14</v>
      </c>
      <c r="C523" t="s">
        <v>18</v>
      </c>
      <c r="D523" t="s">
        <v>24</v>
      </c>
      <c r="E523">
        <v>117356</v>
      </c>
      <c r="F523">
        <v>95808</v>
      </c>
      <c r="G523">
        <v>98905</v>
      </c>
      <c r="H523" t="s">
        <v>31</v>
      </c>
      <c r="I523" t="s">
        <v>32</v>
      </c>
      <c r="J523" t="s">
        <v>35</v>
      </c>
      <c r="K523">
        <f>YEAR(financeData[[#This Row],[Date]])</f>
        <v>2024</v>
      </c>
    </row>
    <row r="524" spans="1:11" x14ac:dyDescent="0.3">
      <c r="A524" s="2">
        <v>45603.147540983598</v>
      </c>
      <c r="B524" t="s">
        <v>10</v>
      </c>
      <c r="C524" t="s">
        <v>15</v>
      </c>
      <c r="D524" t="s">
        <v>23</v>
      </c>
      <c r="E524">
        <v>115944</v>
      </c>
      <c r="F524">
        <v>8397</v>
      </c>
      <c r="G524">
        <v>31512</v>
      </c>
      <c r="H524" t="s">
        <v>31</v>
      </c>
      <c r="I524" t="s">
        <v>32</v>
      </c>
      <c r="J524" t="s">
        <v>35</v>
      </c>
      <c r="K524">
        <f>YEAR(financeData[[#This Row],[Date]])</f>
        <v>2024</v>
      </c>
    </row>
    <row r="525" spans="1:11" x14ac:dyDescent="0.3">
      <c r="A525" s="2">
        <v>45605.142076502729</v>
      </c>
      <c r="B525" t="s">
        <v>12</v>
      </c>
      <c r="C525" t="s">
        <v>17</v>
      </c>
      <c r="D525" t="s">
        <v>22</v>
      </c>
      <c r="E525">
        <v>21456</v>
      </c>
      <c r="F525">
        <v>99909</v>
      </c>
      <c r="G525">
        <v>11716</v>
      </c>
      <c r="H525" t="s">
        <v>28</v>
      </c>
      <c r="I525" t="s">
        <v>34</v>
      </c>
      <c r="J525" t="s">
        <v>36</v>
      </c>
      <c r="K525">
        <f>YEAR(financeData[[#This Row],[Date]])</f>
        <v>2024</v>
      </c>
    </row>
    <row r="526" spans="1:11" x14ac:dyDescent="0.3">
      <c r="A526" s="2">
        <v>45607.136612021852</v>
      </c>
      <c r="B526" t="s">
        <v>11</v>
      </c>
      <c r="C526" t="s">
        <v>17</v>
      </c>
      <c r="D526" t="s">
        <v>25</v>
      </c>
      <c r="E526">
        <v>36367</v>
      </c>
      <c r="F526">
        <v>37525</v>
      </c>
      <c r="G526">
        <v>91795</v>
      </c>
      <c r="H526" t="s">
        <v>30</v>
      </c>
      <c r="I526" t="s">
        <v>34</v>
      </c>
      <c r="J526" t="s">
        <v>35</v>
      </c>
      <c r="K526">
        <f>YEAR(financeData[[#This Row],[Date]])</f>
        <v>2024</v>
      </c>
    </row>
    <row r="527" spans="1:11" x14ac:dyDescent="0.3">
      <c r="A527" s="2">
        <v>45609.131147540968</v>
      </c>
      <c r="B527" t="s">
        <v>10</v>
      </c>
      <c r="C527" t="s">
        <v>17</v>
      </c>
      <c r="D527" t="s">
        <v>22</v>
      </c>
      <c r="E527">
        <v>59624</v>
      </c>
      <c r="F527">
        <v>55072</v>
      </c>
      <c r="G527">
        <v>33933</v>
      </c>
      <c r="H527" t="s">
        <v>28</v>
      </c>
      <c r="I527" t="s">
        <v>33</v>
      </c>
      <c r="J527" t="s">
        <v>35</v>
      </c>
      <c r="K527">
        <f>YEAR(financeData[[#This Row],[Date]])</f>
        <v>2024</v>
      </c>
    </row>
    <row r="528" spans="1:11" x14ac:dyDescent="0.3">
      <c r="A528" s="2">
        <v>45611.125683060112</v>
      </c>
      <c r="B528" t="s">
        <v>11</v>
      </c>
      <c r="C528" t="s">
        <v>15</v>
      </c>
      <c r="D528" t="s">
        <v>27</v>
      </c>
      <c r="E528">
        <v>146178</v>
      </c>
      <c r="F528">
        <v>92106</v>
      </c>
      <c r="G528">
        <v>112225</v>
      </c>
      <c r="H528" t="s">
        <v>30</v>
      </c>
      <c r="I528" t="s">
        <v>33</v>
      </c>
      <c r="J528" t="s">
        <v>35</v>
      </c>
      <c r="K528">
        <f>YEAR(financeData[[#This Row],[Date]])</f>
        <v>2024</v>
      </c>
    </row>
    <row r="529" spans="1:11" x14ac:dyDescent="0.3">
      <c r="A529" s="2">
        <v>45613.120218579228</v>
      </c>
      <c r="B529" t="s">
        <v>14</v>
      </c>
      <c r="C529" t="s">
        <v>15</v>
      </c>
      <c r="D529" t="s">
        <v>22</v>
      </c>
      <c r="E529">
        <v>73008</v>
      </c>
      <c r="F529">
        <v>85820</v>
      </c>
      <c r="G529">
        <v>9378</v>
      </c>
      <c r="H529" t="s">
        <v>29</v>
      </c>
      <c r="I529" t="s">
        <v>32</v>
      </c>
      <c r="J529" t="s">
        <v>35</v>
      </c>
      <c r="K529">
        <f>YEAR(financeData[[#This Row],[Date]])</f>
        <v>2024</v>
      </c>
    </row>
    <row r="530" spans="1:11" x14ac:dyDescent="0.3">
      <c r="A530" s="2">
        <v>45615.114754098358</v>
      </c>
      <c r="B530" t="s">
        <v>11</v>
      </c>
      <c r="C530" t="s">
        <v>18</v>
      </c>
      <c r="D530" t="s">
        <v>27</v>
      </c>
      <c r="E530">
        <v>130926</v>
      </c>
      <c r="F530">
        <v>86530</v>
      </c>
      <c r="G530">
        <v>45583</v>
      </c>
      <c r="H530" t="s">
        <v>31</v>
      </c>
      <c r="I530" t="s">
        <v>34</v>
      </c>
      <c r="J530" t="s">
        <v>36</v>
      </c>
      <c r="K530">
        <f>YEAR(financeData[[#This Row],[Date]])</f>
        <v>2024</v>
      </c>
    </row>
    <row r="531" spans="1:11" x14ac:dyDescent="0.3">
      <c r="A531" s="2">
        <v>45617.109289617467</v>
      </c>
      <c r="B531" t="s">
        <v>11</v>
      </c>
      <c r="C531" t="s">
        <v>16</v>
      </c>
      <c r="D531" t="s">
        <v>27</v>
      </c>
      <c r="E531">
        <v>120395</v>
      </c>
      <c r="F531">
        <v>25284</v>
      </c>
      <c r="G531">
        <v>117082</v>
      </c>
      <c r="H531" t="s">
        <v>28</v>
      </c>
      <c r="I531" t="s">
        <v>32</v>
      </c>
      <c r="J531" t="s">
        <v>35</v>
      </c>
      <c r="K531">
        <f>YEAR(financeData[[#This Row],[Date]])</f>
        <v>2024</v>
      </c>
    </row>
    <row r="532" spans="1:11" x14ac:dyDescent="0.3">
      <c r="A532" s="2">
        <v>45619.103825136612</v>
      </c>
      <c r="B532" t="s">
        <v>13</v>
      </c>
      <c r="C532" t="s">
        <v>18</v>
      </c>
      <c r="D532" t="s">
        <v>22</v>
      </c>
      <c r="E532">
        <v>121492</v>
      </c>
      <c r="F532">
        <v>63330</v>
      </c>
      <c r="G532">
        <v>90371</v>
      </c>
      <c r="H532" t="s">
        <v>28</v>
      </c>
      <c r="I532" t="s">
        <v>33</v>
      </c>
      <c r="J532" t="s">
        <v>36</v>
      </c>
      <c r="K532">
        <f>YEAR(financeData[[#This Row],[Date]])</f>
        <v>2024</v>
      </c>
    </row>
    <row r="533" spans="1:11" x14ac:dyDescent="0.3">
      <c r="A533" s="2">
        <v>45621.098360655727</v>
      </c>
      <c r="B533" t="s">
        <v>13</v>
      </c>
      <c r="C533" t="s">
        <v>20</v>
      </c>
      <c r="D533" t="s">
        <v>25</v>
      </c>
      <c r="E533">
        <v>77240</v>
      </c>
      <c r="F533">
        <v>85369</v>
      </c>
      <c r="G533">
        <v>34033</v>
      </c>
      <c r="H533" t="s">
        <v>30</v>
      </c>
      <c r="I533" t="s">
        <v>33</v>
      </c>
      <c r="J533" t="s">
        <v>35</v>
      </c>
      <c r="K533">
        <f>YEAR(financeData[[#This Row],[Date]])</f>
        <v>2024</v>
      </c>
    </row>
    <row r="534" spans="1:11" x14ac:dyDescent="0.3">
      <c r="A534" s="2">
        <v>45623.092896174858</v>
      </c>
      <c r="B534" t="s">
        <v>13</v>
      </c>
      <c r="C534" t="s">
        <v>19</v>
      </c>
      <c r="D534" t="s">
        <v>23</v>
      </c>
      <c r="E534">
        <v>69315</v>
      </c>
      <c r="F534">
        <v>27122</v>
      </c>
      <c r="G534">
        <v>29000</v>
      </c>
      <c r="H534" t="s">
        <v>30</v>
      </c>
      <c r="I534" t="s">
        <v>32</v>
      </c>
      <c r="J534" t="s">
        <v>36</v>
      </c>
      <c r="K534">
        <f>YEAR(financeData[[#This Row],[Date]])</f>
        <v>2024</v>
      </c>
    </row>
    <row r="535" spans="1:11" x14ac:dyDescent="0.3">
      <c r="A535" s="2">
        <v>45625.087431693981</v>
      </c>
      <c r="B535" t="s">
        <v>11</v>
      </c>
      <c r="C535" t="s">
        <v>17</v>
      </c>
      <c r="D535" t="s">
        <v>24</v>
      </c>
      <c r="E535">
        <v>15756</v>
      </c>
      <c r="F535">
        <v>72553</v>
      </c>
      <c r="G535">
        <v>116032</v>
      </c>
      <c r="H535" t="s">
        <v>28</v>
      </c>
      <c r="I535" t="s">
        <v>33</v>
      </c>
      <c r="J535" t="s">
        <v>35</v>
      </c>
      <c r="K535">
        <f>YEAR(financeData[[#This Row],[Date]])</f>
        <v>2024</v>
      </c>
    </row>
    <row r="536" spans="1:11" x14ac:dyDescent="0.3">
      <c r="A536" s="2">
        <v>45627.081967213111</v>
      </c>
      <c r="B536" t="s">
        <v>12</v>
      </c>
      <c r="C536" t="s">
        <v>16</v>
      </c>
      <c r="D536" t="s">
        <v>24</v>
      </c>
      <c r="E536">
        <v>41378</v>
      </c>
      <c r="F536">
        <v>83906</v>
      </c>
      <c r="G536">
        <v>80868</v>
      </c>
      <c r="H536" t="s">
        <v>30</v>
      </c>
      <c r="I536" t="s">
        <v>32</v>
      </c>
      <c r="J536" t="s">
        <v>35</v>
      </c>
      <c r="K536">
        <f>YEAR(financeData[[#This Row],[Date]])</f>
        <v>2024</v>
      </c>
    </row>
    <row r="537" spans="1:11" x14ac:dyDescent="0.3">
      <c r="A537" s="2">
        <v>45629.076502732227</v>
      </c>
      <c r="B537" t="s">
        <v>11</v>
      </c>
      <c r="C537" t="s">
        <v>19</v>
      </c>
      <c r="D537" t="s">
        <v>23</v>
      </c>
      <c r="E537">
        <v>140327</v>
      </c>
      <c r="F537">
        <v>96788</v>
      </c>
      <c r="G537">
        <v>47604</v>
      </c>
      <c r="H537" t="s">
        <v>28</v>
      </c>
      <c r="I537" t="s">
        <v>34</v>
      </c>
      <c r="J537" t="s">
        <v>36</v>
      </c>
      <c r="K537">
        <f>YEAR(financeData[[#This Row],[Date]])</f>
        <v>2024</v>
      </c>
    </row>
    <row r="538" spans="1:11" x14ac:dyDescent="0.3">
      <c r="A538" s="2">
        <v>45631.071038251357</v>
      </c>
      <c r="B538" t="s">
        <v>12</v>
      </c>
      <c r="C538" t="s">
        <v>16</v>
      </c>
      <c r="D538" t="s">
        <v>27</v>
      </c>
      <c r="E538">
        <v>130703</v>
      </c>
      <c r="F538">
        <v>64812</v>
      </c>
      <c r="G538">
        <v>73336</v>
      </c>
      <c r="H538" t="s">
        <v>28</v>
      </c>
      <c r="I538" t="s">
        <v>32</v>
      </c>
      <c r="J538" t="s">
        <v>35</v>
      </c>
      <c r="K538">
        <f>YEAR(financeData[[#This Row],[Date]])</f>
        <v>2024</v>
      </c>
    </row>
    <row r="539" spans="1:11" x14ac:dyDescent="0.3">
      <c r="A539" s="2">
        <v>45633.065573770487</v>
      </c>
      <c r="B539" t="s">
        <v>12</v>
      </c>
      <c r="C539" t="s">
        <v>21</v>
      </c>
      <c r="D539" t="s">
        <v>27</v>
      </c>
      <c r="E539">
        <v>61549</v>
      </c>
      <c r="F539">
        <v>9999</v>
      </c>
      <c r="G539">
        <v>100074</v>
      </c>
      <c r="H539" t="s">
        <v>28</v>
      </c>
      <c r="I539" t="s">
        <v>34</v>
      </c>
      <c r="J539" t="s">
        <v>36</v>
      </c>
      <c r="K539">
        <f>YEAR(financeData[[#This Row],[Date]])</f>
        <v>2024</v>
      </c>
    </row>
    <row r="540" spans="1:11" x14ac:dyDescent="0.3">
      <c r="A540" s="2">
        <v>45635.060109289603</v>
      </c>
      <c r="B540" t="s">
        <v>13</v>
      </c>
      <c r="C540" t="s">
        <v>18</v>
      </c>
      <c r="D540" t="s">
        <v>25</v>
      </c>
      <c r="E540">
        <v>78794</v>
      </c>
      <c r="F540">
        <v>24436</v>
      </c>
      <c r="G540">
        <v>100655</v>
      </c>
      <c r="H540" t="s">
        <v>29</v>
      </c>
      <c r="I540" t="s">
        <v>34</v>
      </c>
      <c r="J540" t="s">
        <v>35</v>
      </c>
      <c r="K540">
        <f>YEAR(financeData[[#This Row],[Date]])</f>
        <v>2024</v>
      </c>
    </row>
    <row r="541" spans="1:11" x14ac:dyDescent="0.3">
      <c r="A541" s="2">
        <v>45637.054644808741</v>
      </c>
      <c r="B541" t="s">
        <v>10</v>
      </c>
      <c r="C541" t="s">
        <v>15</v>
      </c>
      <c r="D541" t="s">
        <v>26</v>
      </c>
      <c r="E541">
        <v>50113</v>
      </c>
      <c r="F541">
        <v>44963</v>
      </c>
      <c r="G541">
        <v>78869</v>
      </c>
      <c r="H541" t="s">
        <v>30</v>
      </c>
      <c r="I541" t="s">
        <v>33</v>
      </c>
      <c r="J541" t="s">
        <v>36</v>
      </c>
      <c r="K541">
        <f>YEAR(financeData[[#This Row],[Date]])</f>
        <v>2024</v>
      </c>
    </row>
    <row r="542" spans="1:11" x14ac:dyDescent="0.3">
      <c r="A542" s="2">
        <v>45639.049180327856</v>
      </c>
      <c r="B542" t="s">
        <v>14</v>
      </c>
      <c r="C542" t="s">
        <v>17</v>
      </c>
      <c r="D542" t="s">
        <v>22</v>
      </c>
      <c r="E542">
        <v>79069</v>
      </c>
      <c r="F542">
        <v>4096</v>
      </c>
      <c r="G542">
        <v>10410</v>
      </c>
      <c r="H542" t="s">
        <v>31</v>
      </c>
      <c r="I542" t="s">
        <v>33</v>
      </c>
      <c r="J542" t="s">
        <v>35</v>
      </c>
      <c r="K542">
        <f>YEAR(financeData[[#This Row],[Date]])</f>
        <v>2024</v>
      </c>
    </row>
    <row r="543" spans="1:11" x14ac:dyDescent="0.3">
      <c r="A543" s="2">
        <v>45641.043715846987</v>
      </c>
      <c r="B543" t="s">
        <v>13</v>
      </c>
      <c r="C543" t="s">
        <v>18</v>
      </c>
      <c r="D543" t="s">
        <v>27</v>
      </c>
      <c r="E543">
        <v>141321</v>
      </c>
      <c r="F543">
        <v>27279</v>
      </c>
      <c r="G543">
        <v>88375</v>
      </c>
      <c r="H543" t="s">
        <v>31</v>
      </c>
      <c r="I543" t="s">
        <v>33</v>
      </c>
      <c r="J543" t="s">
        <v>35</v>
      </c>
      <c r="K543">
        <f>YEAR(financeData[[#This Row],[Date]])</f>
        <v>2024</v>
      </c>
    </row>
    <row r="544" spans="1:11" x14ac:dyDescent="0.3">
      <c r="A544" s="2">
        <v>45643.03825136611</v>
      </c>
      <c r="B544" t="s">
        <v>13</v>
      </c>
      <c r="C544" t="s">
        <v>19</v>
      </c>
      <c r="D544" t="s">
        <v>24</v>
      </c>
      <c r="E544">
        <v>130541</v>
      </c>
      <c r="F544">
        <v>28201</v>
      </c>
      <c r="G544">
        <v>61044</v>
      </c>
      <c r="H544" t="s">
        <v>30</v>
      </c>
      <c r="I544" t="s">
        <v>32</v>
      </c>
      <c r="J544" t="s">
        <v>36</v>
      </c>
      <c r="K544">
        <f>YEAR(financeData[[#This Row],[Date]])</f>
        <v>2024</v>
      </c>
    </row>
    <row r="545" spans="1:11" x14ac:dyDescent="0.3">
      <c r="A545" s="2">
        <v>45645.03278688524</v>
      </c>
      <c r="B545" t="s">
        <v>10</v>
      </c>
      <c r="C545" t="s">
        <v>21</v>
      </c>
      <c r="D545" t="s">
        <v>25</v>
      </c>
      <c r="E545">
        <v>14686</v>
      </c>
      <c r="F545">
        <v>21715</v>
      </c>
      <c r="G545">
        <v>68315</v>
      </c>
      <c r="H545" t="s">
        <v>28</v>
      </c>
      <c r="I545" t="s">
        <v>32</v>
      </c>
      <c r="J545" t="s">
        <v>35</v>
      </c>
      <c r="K545">
        <f>YEAR(financeData[[#This Row],[Date]])</f>
        <v>2024</v>
      </c>
    </row>
    <row r="546" spans="1:11" x14ac:dyDescent="0.3">
      <c r="A546" s="2">
        <v>45647.027322404363</v>
      </c>
      <c r="B546" t="s">
        <v>14</v>
      </c>
      <c r="C546" t="s">
        <v>21</v>
      </c>
      <c r="D546" t="s">
        <v>22</v>
      </c>
      <c r="E546">
        <v>58363</v>
      </c>
      <c r="F546">
        <v>31309</v>
      </c>
      <c r="G546">
        <v>101055</v>
      </c>
      <c r="H546" t="s">
        <v>31</v>
      </c>
      <c r="I546" t="s">
        <v>33</v>
      </c>
      <c r="J546" t="s">
        <v>35</v>
      </c>
      <c r="K546">
        <f>YEAR(financeData[[#This Row],[Date]])</f>
        <v>2024</v>
      </c>
    </row>
    <row r="547" spans="1:11" x14ac:dyDescent="0.3">
      <c r="A547" s="2">
        <v>45649.021857923493</v>
      </c>
      <c r="B547" t="s">
        <v>11</v>
      </c>
      <c r="C547" t="s">
        <v>21</v>
      </c>
      <c r="D547" t="s">
        <v>25</v>
      </c>
      <c r="E547">
        <v>102543</v>
      </c>
      <c r="F547">
        <v>17078</v>
      </c>
      <c r="G547">
        <v>76344</v>
      </c>
      <c r="H547" t="s">
        <v>31</v>
      </c>
      <c r="I547" t="s">
        <v>32</v>
      </c>
      <c r="J547" t="s">
        <v>35</v>
      </c>
      <c r="K547">
        <f>YEAR(financeData[[#This Row],[Date]])</f>
        <v>2024</v>
      </c>
    </row>
    <row r="548" spans="1:11" x14ac:dyDescent="0.3">
      <c r="A548" s="2">
        <v>45651.016393442616</v>
      </c>
      <c r="B548" t="s">
        <v>11</v>
      </c>
      <c r="C548" t="s">
        <v>19</v>
      </c>
      <c r="D548" t="s">
        <v>22</v>
      </c>
      <c r="E548">
        <v>136733</v>
      </c>
      <c r="F548">
        <v>58614</v>
      </c>
      <c r="G548">
        <v>11796</v>
      </c>
      <c r="H548" t="s">
        <v>30</v>
      </c>
      <c r="I548" t="s">
        <v>33</v>
      </c>
      <c r="J548" t="s">
        <v>35</v>
      </c>
      <c r="K548">
        <f>YEAR(financeData[[#This Row],[Date]])</f>
        <v>2024</v>
      </c>
    </row>
    <row r="549" spans="1:11" x14ac:dyDescent="0.3">
      <c r="A549" s="2">
        <v>45653.010928961747</v>
      </c>
      <c r="B549" t="s">
        <v>13</v>
      </c>
      <c r="C549" t="s">
        <v>19</v>
      </c>
      <c r="D549" t="s">
        <v>22</v>
      </c>
      <c r="E549">
        <v>100673</v>
      </c>
      <c r="F549">
        <v>7105</v>
      </c>
      <c r="G549">
        <v>91716</v>
      </c>
      <c r="H549" t="s">
        <v>31</v>
      </c>
      <c r="I549" t="s">
        <v>32</v>
      </c>
      <c r="J549" t="s">
        <v>35</v>
      </c>
      <c r="K549">
        <f>YEAR(financeData[[#This Row],[Date]])</f>
        <v>2024</v>
      </c>
    </row>
    <row r="550" spans="1:11" x14ac:dyDescent="0.3">
      <c r="A550" s="2">
        <v>45655.00546448087</v>
      </c>
      <c r="B550" t="s">
        <v>14</v>
      </c>
      <c r="C550" t="s">
        <v>19</v>
      </c>
      <c r="D550" t="s">
        <v>23</v>
      </c>
      <c r="E550">
        <v>47828</v>
      </c>
      <c r="F550">
        <v>96848</v>
      </c>
      <c r="G550">
        <v>59245</v>
      </c>
      <c r="H550" t="s">
        <v>28</v>
      </c>
      <c r="I550" t="s">
        <v>34</v>
      </c>
      <c r="J550" t="s">
        <v>35</v>
      </c>
      <c r="K550">
        <f>YEAR(financeData[[#This Row],[Date]])</f>
        <v>2024</v>
      </c>
    </row>
    <row r="551" spans="1:11" x14ac:dyDescent="0.3">
      <c r="A551" s="2">
        <v>45657</v>
      </c>
      <c r="B551" t="s">
        <v>13</v>
      </c>
      <c r="C551" t="s">
        <v>19</v>
      </c>
      <c r="D551" t="s">
        <v>27</v>
      </c>
      <c r="E551">
        <v>53604</v>
      </c>
      <c r="F551">
        <v>4839</v>
      </c>
      <c r="G551">
        <v>48056</v>
      </c>
      <c r="H551" t="s">
        <v>30</v>
      </c>
      <c r="I551" t="s">
        <v>34</v>
      </c>
      <c r="J551" t="s">
        <v>36</v>
      </c>
      <c r="K551">
        <f>YEAR(financeData[[#This Row],[Date]])</f>
        <v>2024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Detail1</vt:lpstr>
      <vt:lpstr>Sheet2</vt:lpstr>
      <vt:lpstr>dashboard</vt:lpstr>
      <vt:lpstr>Sheet4</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abida khan</dc:creator>
  <cp:lastModifiedBy>abida khan</cp:lastModifiedBy>
  <cp:lastPrinted>2025-11-29T14:19:07Z</cp:lastPrinted>
  <dcterms:created xsi:type="dcterms:W3CDTF">2025-11-29T11:10:07Z</dcterms:created>
  <dcterms:modified xsi:type="dcterms:W3CDTF">2025-11-29T14:19:57Z</dcterms:modified>
</cp:coreProperties>
</file>